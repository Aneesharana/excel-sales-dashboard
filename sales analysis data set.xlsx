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naa\OneDrive\Desktop\Data analyst &amp;AI\"/>
    </mc:Choice>
  </mc:AlternateContent>
  <xr:revisionPtr revIDLastSave="0" documentId="13_ncr:1_{FA3249EE-82CF-4219-9F12-2A0F8D0FC490}" xr6:coauthVersionLast="47" xr6:coauthVersionMax="47" xr10:uidLastSave="{00000000-0000-0000-0000-000000000000}"/>
  <bookViews>
    <workbookView xWindow="-108" yWindow="-108" windowWidth="23256" windowHeight="12456" activeTab="5" xr2:uid="{5206EA1D-0B37-43FE-A10D-0AF2E0AE12A0}"/>
  </bookViews>
  <sheets>
    <sheet name="Sheet2" sheetId="2" r:id="rId1"/>
    <sheet name="Sheet6" sheetId="6" r:id="rId2"/>
    <sheet name="Sheet3" sheetId="3" r:id="rId3"/>
    <sheet name="Sheet4" sheetId="4" r:id="rId4"/>
    <sheet name="Sheet5" sheetId="5" r:id="rId5"/>
    <sheet name="Sheet1" sheetId="1" r:id="rId6"/>
  </sheets>
  <definedNames>
    <definedName name="Slicer_city">#N/A</definedName>
    <definedName name="Slicer_Product">#N/A</definedName>
  </definedNames>
  <calcPr calcId="191029"/>
  <pivotCaches>
    <pivotCache cacheId="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 i="1" l="1"/>
  <c r="L10" i="1"/>
  <c r="L8" i="1"/>
</calcChain>
</file>

<file path=xl/sharedStrings.xml><?xml version="1.0" encoding="utf-8"?>
<sst xmlns="http://schemas.openxmlformats.org/spreadsheetml/2006/main" count="138" uniqueCount="33">
  <si>
    <t>S.no</t>
  </si>
  <si>
    <t>Date</t>
  </si>
  <si>
    <t>city</t>
  </si>
  <si>
    <t>Product</t>
  </si>
  <si>
    <t>Sales</t>
  </si>
  <si>
    <t>Profit</t>
  </si>
  <si>
    <t>puri</t>
  </si>
  <si>
    <t>laptop</t>
  </si>
  <si>
    <t>bbsr</t>
  </si>
  <si>
    <t>mobiles</t>
  </si>
  <si>
    <t>cuttack</t>
  </si>
  <si>
    <t>headphones</t>
  </si>
  <si>
    <t>keyboard</t>
  </si>
  <si>
    <t>sambalpur</t>
  </si>
  <si>
    <t>monitor</t>
  </si>
  <si>
    <t>balangir</t>
  </si>
  <si>
    <t>mouse</t>
  </si>
  <si>
    <t>keypad</t>
  </si>
  <si>
    <t>Row Labels</t>
  </si>
  <si>
    <t>Grand Total</t>
  </si>
  <si>
    <t>Sum of Profit</t>
  </si>
  <si>
    <t>May</t>
  </si>
  <si>
    <t>Feb</t>
  </si>
  <si>
    <t>Jun</t>
  </si>
  <si>
    <t>Mar</t>
  </si>
  <si>
    <t>Jan</t>
  </si>
  <si>
    <t>Apr</t>
  </si>
  <si>
    <t>Sum of Sales</t>
  </si>
  <si>
    <t>TOTAL SALES:</t>
  </si>
  <si>
    <t>TOTAL PROFIT:</t>
  </si>
  <si>
    <t>TOTAL QUANTITY:</t>
  </si>
  <si>
    <t>SALES OF ELETRONIC APPLIANCES IN ODISHA REGION</t>
  </si>
  <si>
    <t>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</si>
</sst>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0" xfId="0" applyNumberFormat="1"/>
  </cellXfs>
  <cellStyles count="1">
    <cellStyle name="Normal" xfId="0" builtinId="0"/>
  </cellStyles>
  <dxfs count="0"/>
  <tableStyles count="0" defaultTableStyle="TableStyleMedium2" defaultPivotStyle="PivotStyleLight16"/>
  <colors>
    <mruColors>
      <color rgb="FFC5C5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 data set.xlsx]Sheet2!PivotTable1</c:name>
    <c:fmtId val="1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CITY-WISE</a:t>
            </a:r>
            <a:r>
              <a:rPr lang="en-IN" baseline="0"/>
              <a:t> SALES PERFORMANCE </a:t>
            </a: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Sheet2!$A$4:$A$9</c:f>
              <c:strCache>
                <c:ptCount val="5"/>
                <c:pt idx="0">
                  <c:v>balangir</c:v>
                </c:pt>
                <c:pt idx="1">
                  <c:v>bbsr</c:v>
                </c:pt>
                <c:pt idx="2">
                  <c:v>cuttack</c:v>
                </c:pt>
                <c:pt idx="3">
                  <c:v>puri</c:v>
                </c:pt>
                <c:pt idx="4">
                  <c:v>sambalpur</c:v>
                </c:pt>
              </c:strCache>
            </c:strRef>
          </c:cat>
          <c:val>
            <c:numRef>
              <c:f>Sheet2!$B$4:$B$9</c:f>
              <c:numCache>
                <c:formatCode>General</c:formatCode>
                <c:ptCount val="5"/>
                <c:pt idx="0">
                  <c:v>37990</c:v>
                </c:pt>
                <c:pt idx="1">
                  <c:v>31665</c:v>
                </c:pt>
                <c:pt idx="2">
                  <c:v>8360</c:v>
                </c:pt>
                <c:pt idx="3">
                  <c:v>25138</c:v>
                </c:pt>
                <c:pt idx="4">
                  <c:v>19107</c:v>
                </c:pt>
              </c:numCache>
            </c:numRef>
          </c:val>
          <c:extLst>
            <c:ext xmlns:c16="http://schemas.microsoft.com/office/drawing/2014/chart" uri="{C3380CC4-5D6E-409C-BE32-E72D297353CC}">
              <c16:uniqueId val="{00000000-98C3-4A80-B145-81E58122BE0A}"/>
            </c:ext>
          </c:extLst>
        </c:ser>
        <c:dLbls>
          <c:showLegendKey val="0"/>
          <c:showVal val="0"/>
          <c:showCatName val="0"/>
          <c:showSerName val="0"/>
          <c:showPercent val="0"/>
          <c:showBubbleSize val="0"/>
        </c:dLbls>
        <c:gapWidth val="150"/>
        <c:gapDepth val="0"/>
        <c:shape val="box"/>
        <c:axId val="191219040"/>
        <c:axId val="191220000"/>
        <c:axId val="0"/>
      </c:bar3DChart>
      <c:catAx>
        <c:axId val="191219040"/>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0000"/>
        <c:crosses val="autoZero"/>
        <c:auto val="1"/>
        <c:lblAlgn val="ctr"/>
        <c:lblOffset val="100"/>
        <c:noMultiLvlLbl val="0"/>
      </c:catAx>
      <c:valAx>
        <c:axId val="191220000"/>
        <c:scaling>
          <c:orientation val="minMax"/>
        </c:scaling>
        <c:delete val="0"/>
        <c:axPos val="b"/>
        <c:majorGridlines>
          <c:spPr>
            <a:ln w="9525" cap="flat" cmpd="sng" algn="ctr">
              <a:solidFill>
                <a:schemeClr val="tx1">
                  <a:lumMod val="5000"/>
                  <a:lumOff val="9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19040"/>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 data set.xlsx]Sheet2!PivotTable1</c:name>
    <c:fmtId val="2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CITY-WISE</a:t>
            </a:r>
            <a:r>
              <a:rPr lang="en-IN" baseline="0"/>
              <a:t> SALES PERFORMANCE </a:t>
            </a: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Sheet2!$A$4:$A$9</c:f>
              <c:strCache>
                <c:ptCount val="5"/>
                <c:pt idx="0">
                  <c:v>balangir</c:v>
                </c:pt>
                <c:pt idx="1">
                  <c:v>bbsr</c:v>
                </c:pt>
                <c:pt idx="2">
                  <c:v>cuttack</c:v>
                </c:pt>
                <c:pt idx="3">
                  <c:v>puri</c:v>
                </c:pt>
                <c:pt idx="4">
                  <c:v>sambalpur</c:v>
                </c:pt>
              </c:strCache>
            </c:strRef>
          </c:cat>
          <c:val>
            <c:numRef>
              <c:f>Sheet2!$B$4:$B$9</c:f>
              <c:numCache>
                <c:formatCode>General</c:formatCode>
                <c:ptCount val="5"/>
                <c:pt idx="0">
                  <c:v>37990</c:v>
                </c:pt>
                <c:pt idx="1">
                  <c:v>31665</c:v>
                </c:pt>
                <c:pt idx="2">
                  <c:v>8360</c:v>
                </c:pt>
                <c:pt idx="3">
                  <c:v>25138</c:v>
                </c:pt>
                <c:pt idx="4">
                  <c:v>19107</c:v>
                </c:pt>
              </c:numCache>
            </c:numRef>
          </c:val>
          <c:extLst>
            <c:ext xmlns:c16="http://schemas.microsoft.com/office/drawing/2014/chart" uri="{C3380CC4-5D6E-409C-BE32-E72D297353CC}">
              <c16:uniqueId val="{00000000-F701-45C5-ABF7-A7D056B3207C}"/>
            </c:ext>
          </c:extLst>
        </c:ser>
        <c:dLbls>
          <c:showLegendKey val="0"/>
          <c:showVal val="0"/>
          <c:showCatName val="0"/>
          <c:showSerName val="0"/>
          <c:showPercent val="0"/>
          <c:showBubbleSize val="0"/>
        </c:dLbls>
        <c:gapWidth val="150"/>
        <c:gapDepth val="0"/>
        <c:shape val="box"/>
        <c:axId val="191219040"/>
        <c:axId val="191220000"/>
        <c:axId val="0"/>
      </c:bar3DChart>
      <c:catAx>
        <c:axId val="191219040"/>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0000"/>
        <c:crosses val="autoZero"/>
        <c:auto val="1"/>
        <c:lblAlgn val="ctr"/>
        <c:lblOffset val="100"/>
        <c:noMultiLvlLbl val="0"/>
      </c:catAx>
      <c:valAx>
        <c:axId val="191220000"/>
        <c:scaling>
          <c:orientation val="minMax"/>
        </c:scaling>
        <c:delete val="0"/>
        <c:axPos val="b"/>
        <c:majorGridlines>
          <c:spPr>
            <a:ln w="9525" cap="flat" cmpd="sng" algn="ctr">
              <a:solidFill>
                <a:schemeClr val="tx1">
                  <a:lumMod val="5000"/>
                  <a:lumOff val="9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19040"/>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 data set.xlsx]Sheet3!PivotTable2</c:name>
    <c:fmtId val="2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600" b="1"/>
              <a:t>MONTHLY</a:t>
            </a:r>
            <a:r>
              <a:rPr lang="en-US" sz="1600" b="1" baseline="0"/>
              <a:t> REVENUE TRENDS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8727034120735"/>
          <c:y val="0.25865522018081066"/>
          <c:w val="0.63773797025371826"/>
          <c:h val="0.44522054534849809"/>
        </c:manualLayout>
      </c:layout>
      <c:lineChart>
        <c:grouping val="standard"/>
        <c:varyColors val="0"/>
        <c:ser>
          <c:idx val="0"/>
          <c:order val="0"/>
          <c:tx>
            <c:strRef>
              <c:f>Sheet3!$B$3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Sheet3!$A$4:$A$10</c:f>
              <c:strCache>
                <c:ptCount val="6"/>
                <c:pt idx="0">
                  <c:v>Jan</c:v>
                </c:pt>
                <c:pt idx="1">
                  <c:v>Feb</c:v>
                </c:pt>
                <c:pt idx="2">
                  <c:v>Mar</c:v>
                </c:pt>
                <c:pt idx="3">
                  <c:v>Apr</c:v>
                </c:pt>
                <c:pt idx="4">
                  <c:v>May</c:v>
                </c:pt>
                <c:pt idx="5">
                  <c:v>Jun</c:v>
                </c:pt>
              </c:strCache>
            </c:strRef>
          </c:cat>
          <c:val>
            <c:numRef>
              <c:f>Sheet3!$B$4:$B$10</c:f>
              <c:numCache>
                <c:formatCode>General</c:formatCode>
                <c:ptCount val="6"/>
                <c:pt idx="0">
                  <c:v>209000</c:v>
                </c:pt>
                <c:pt idx="1">
                  <c:v>164480</c:v>
                </c:pt>
                <c:pt idx="2">
                  <c:v>274528</c:v>
                </c:pt>
                <c:pt idx="3">
                  <c:v>125137</c:v>
                </c:pt>
                <c:pt idx="4">
                  <c:v>158520</c:v>
                </c:pt>
                <c:pt idx="5">
                  <c:v>126090</c:v>
                </c:pt>
              </c:numCache>
            </c:numRef>
          </c:val>
          <c:smooth val="0"/>
          <c:extLst>
            <c:ext xmlns:c16="http://schemas.microsoft.com/office/drawing/2014/chart" uri="{C3380CC4-5D6E-409C-BE32-E72D297353CC}">
              <c16:uniqueId val="{00000000-A6BD-4B47-87C4-350BA486C1D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47658224"/>
        <c:axId val="201168128"/>
      </c:lineChart>
      <c:catAx>
        <c:axId val="15476582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1168128"/>
        <c:crosses val="autoZero"/>
        <c:auto val="1"/>
        <c:lblAlgn val="ctr"/>
        <c:lblOffset val="100"/>
        <c:noMultiLvlLbl val="0"/>
      </c:catAx>
      <c:valAx>
        <c:axId val="20116812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47658224"/>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data set.xlsx]Sheet4!PivotTable3</c:name>
    <c:fmtId val="1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PROFIT BY PRODUCT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Sheet4!$A$4:$A$11</c:f>
              <c:strCache>
                <c:ptCount val="7"/>
                <c:pt idx="0">
                  <c:v>mobiles</c:v>
                </c:pt>
                <c:pt idx="1">
                  <c:v>laptop</c:v>
                </c:pt>
                <c:pt idx="2">
                  <c:v>monitor</c:v>
                </c:pt>
                <c:pt idx="3">
                  <c:v>keyboard</c:v>
                </c:pt>
                <c:pt idx="4">
                  <c:v>keypad</c:v>
                </c:pt>
                <c:pt idx="5">
                  <c:v>headphones</c:v>
                </c:pt>
                <c:pt idx="6">
                  <c:v>mouse</c:v>
                </c:pt>
              </c:strCache>
            </c:strRef>
          </c:cat>
          <c:val>
            <c:numRef>
              <c:f>Sheet4!$B$4:$B$11</c:f>
              <c:numCache>
                <c:formatCode>General</c:formatCode>
                <c:ptCount val="7"/>
                <c:pt idx="0">
                  <c:v>43623</c:v>
                </c:pt>
                <c:pt idx="1">
                  <c:v>42090</c:v>
                </c:pt>
                <c:pt idx="2">
                  <c:v>24439</c:v>
                </c:pt>
                <c:pt idx="3">
                  <c:v>4479</c:v>
                </c:pt>
                <c:pt idx="4">
                  <c:v>3380</c:v>
                </c:pt>
                <c:pt idx="5">
                  <c:v>2520</c:v>
                </c:pt>
                <c:pt idx="6">
                  <c:v>1729</c:v>
                </c:pt>
              </c:numCache>
            </c:numRef>
          </c:val>
          <c:extLst>
            <c:ext xmlns:c16="http://schemas.microsoft.com/office/drawing/2014/chart" uri="{C3380CC4-5D6E-409C-BE32-E72D297353CC}">
              <c16:uniqueId val="{00000000-1082-47F8-B09C-5B4A5D2EE23A}"/>
            </c:ext>
          </c:extLst>
        </c:ser>
        <c:dLbls>
          <c:dLblPos val="inEnd"/>
          <c:showLegendKey val="0"/>
          <c:showVal val="1"/>
          <c:showCatName val="0"/>
          <c:showSerName val="0"/>
          <c:showPercent val="0"/>
          <c:showBubbleSize val="0"/>
        </c:dLbls>
        <c:gapWidth val="199"/>
        <c:axId val="630139904"/>
        <c:axId val="630137024"/>
      </c:barChart>
      <c:catAx>
        <c:axId val="63013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30137024"/>
        <c:crosses val="autoZero"/>
        <c:auto val="1"/>
        <c:lblAlgn val="ctr"/>
        <c:lblOffset val="100"/>
        <c:noMultiLvlLbl val="0"/>
      </c:catAx>
      <c:valAx>
        <c:axId val="6301370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13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58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data set.xlsx]Sheet5!PivotTable4</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PRODUCT</a:t>
            </a:r>
            <a:r>
              <a:rPr lang="en-US" baseline="0"/>
              <a:t> SALES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manualLayout>
          <c:layoutTarget val="inner"/>
          <c:xMode val="edge"/>
          <c:yMode val="edge"/>
          <c:x val="0.26681517935258092"/>
          <c:y val="0.27496060880611156"/>
          <c:w val="0.37589304461942258"/>
          <c:h val="0.66598166420334459"/>
        </c:manualLayout>
      </c:layout>
      <c:doughnutChart>
        <c:varyColors val="1"/>
        <c:ser>
          <c:idx val="0"/>
          <c:order val="0"/>
          <c:tx>
            <c:strRef>
              <c:f>Sheet5!$B$3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4339-47EB-A369-B75022D75477}"/>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4339-47EB-A369-B75022D75477}"/>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4339-47EB-A369-B75022D75477}"/>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4339-47EB-A369-B75022D75477}"/>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4339-47EB-A369-B75022D75477}"/>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4339-47EB-A369-B75022D75477}"/>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4339-47EB-A369-B75022D75477}"/>
              </c:ext>
            </c:extLst>
          </c:dPt>
          <c:cat>
            <c:strRef>
              <c:f>Sheet5!$A$4:$A$11</c:f>
              <c:strCache>
                <c:ptCount val="7"/>
                <c:pt idx="0">
                  <c:v>headphones</c:v>
                </c:pt>
                <c:pt idx="1">
                  <c:v>keyboard</c:v>
                </c:pt>
                <c:pt idx="2">
                  <c:v>keypad</c:v>
                </c:pt>
                <c:pt idx="3">
                  <c:v>laptop</c:v>
                </c:pt>
                <c:pt idx="4">
                  <c:v>mobiles</c:v>
                </c:pt>
                <c:pt idx="5">
                  <c:v>monitor</c:v>
                </c:pt>
                <c:pt idx="6">
                  <c:v>mouse</c:v>
                </c:pt>
              </c:strCache>
            </c:strRef>
          </c:cat>
          <c:val>
            <c:numRef>
              <c:f>Sheet5!$B$4:$B$11</c:f>
              <c:numCache>
                <c:formatCode>General</c:formatCode>
                <c:ptCount val="7"/>
                <c:pt idx="0">
                  <c:v>21253</c:v>
                </c:pt>
                <c:pt idx="1">
                  <c:v>34837</c:v>
                </c:pt>
                <c:pt idx="2">
                  <c:v>27540</c:v>
                </c:pt>
                <c:pt idx="3">
                  <c:v>452640</c:v>
                </c:pt>
                <c:pt idx="4">
                  <c:v>326960</c:v>
                </c:pt>
                <c:pt idx="5">
                  <c:v>187520</c:v>
                </c:pt>
                <c:pt idx="6">
                  <c:v>7005</c:v>
                </c:pt>
              </c:numCache>
            </c:numRef>
          </c:val>
          <c:extLst>
            <c:ext xmlns:c16="http://schemas.microsoft.com/office/drawing/2014/chart" uri="{C3380CC4-5D6E-409C-BE32-E72D297353CC}">
              <c16:uniqueId val="{0000000E-4339-47EB-A369-B75022D7547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 data set.xlsx]Sheet3!PivotTable2</c:name>
    <c:fmtId val="1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a:t>
            </a:r>
            <a:r>
              <a:rPr lang="en-US" baseline="0"/>
              <a:t> REVENUE TRENDS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8727034120735"/>
          <c:y val="0.25865522018081066"/>
          <c:w val="0.63773797025371826"/>
          <c:h val="0.44522054534849809"/>
        </c:manualLayout>
      </c:layout>
      <c:lineChart>
        <c:grouping val="standard"/>
        <c:varyColors val="0"/>
        <c:ser>
          <c:idx val="0"/>
          <c:order val="0"/>
          <c:tx>
            <c:strRef>
              <c:f>Sheet3!$B$3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Sheet3!$A$4:$A$10</c:f>
              <c:strCache>
                <c:ptCount val="6"/>
                <c:pt idx="0">
                  <c:v>Jan</c:v>
                </c:pt>
                <c:pt idx="1">
                  <c:v>Feb</c:v>
                </c:pt>
                <c:pt idx="2">
                  <c:v>Mar</c:v>
                </c:pt>
                <c:pt idx="3">
                  <c:v>Apr</c:v>
                </c:pt>
                <c:pt idx="4">
                  <c:v>May</c:v>
                </c:pt>
                <c:pt idx="5">
                  <c:v>Jun</c:v>
                </c:pt>
              </c:strCache>
            </c:strRef>
          </c:cat>
          <c:val>
            <c:numRef>
              <c:f>Sheet3!$B$4:$B$10</c:f>
              <c:numCache>
                <c:formatCode>General</c:formatCode>
                <c:ptCount val="6"/>
                <c:pt idx="0">
                  <c:v>209000</c:v>
                </c:pt>
                <c:pt idx="1">
                  <c:v>164480</c:v>
                </c:pt>
                <c:pt idx="2">
                  <c:v>274528</c:v>
                </c:pt>
                <c:pt idx="3">
                  <c:v>125137</c:v>
                </c:pt>
                <c:pt idx="4">
                  <c:v>158520</c:v>
                </c:pt>
                <c:pt idx="5">
                  <c:v>126090</c:v>
                </c:pt>
              </c:numCache>
            </c:numRef>
          </c:val>
          <c:smooth val="0"/>
          <c:extLst>
            <c:ext xmlns:c16="http://schemas.microsoft.com/office/drawing/2014/chart" uri="{C3380CC4-5D6E-409C-BE32-E72D297353CC}">
              <c16:uniqueId val="{00000000-16F6-4BA9-9DF4-A13BB6B18A5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47658224"/>
        <c:axId val="201168128"/>
      </c:lineChart>
      <c:catAx>
        <c:axId val="1547658224"/>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1168128"/>
        <c:crosses val="autoZero"/>
        <c:auto val="1"/>
        <c:lblAlgn val="ctr"/>
        <c:lblOffset val="100"/>
        <c:noMultiLvlLbl val="0"/>
      </c:catAx>
      <c:valAx>
        <c:axId val="20116812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47658224"/>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data set.xlsx]Sheet4!PivotTable3</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PROFIT BY PRODUCT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Sheet4!$A$4:$A$11</c:f>
              <c:strCache>
                <c:ptCount val="7"/>
                <c:pt idx="0">
                  <c:v>mobiles</c:v>
                </c:pt>
                <c:pt idx="1">
                  <c:v>laptop</c:v>
                </c:pt>
                <c:pt idx="2">
                  <c:v>monitor</c:v>
                </c:pt>
                <c:pt idx="3">
                  <c:v>keyboard</c:v>
                </c:pt>
                <c:pt idx="4">
                  <c:v>keypad</c:v>
                </c:pt>
                <c:pt idx="5">
                  <c:v>headphones</c:v>
                </c:pt>
                <c:pt idx="6">
                  <c:v>mouse</c:v>
                </c:pt>
              </c:strCache>
            </c:strRef>
          </c:cat>
          <c:val>
            <c:numRef>
              <c:f>Sheet4!$B$4:$B$11</c:f>
              <c:numCache>
                <c:formatCode>General</c:formatCode>
                <c:ptCount val="7"/>
                <c:pt idx="0">
                  <c:v>43623</c:v>
                </c:pt>
                <c:pt idx="1">
                  <c:v>42090</c:v>
                </c:pt>
                <c:pt idx="2">
                  <c:v>24439</c:v>
                </c:pt>
                <c:pt idx="3">
                  <c:v>4479</c:v>
                </c:pt>
                <c:pt idx="4">
                  <c:v>3380</c:v>
                </c:pt>
                <c:pt idx="5">
                  <c:v>2520</c:v>
                </c:pt>
                <c:pt idx="6">
                  <c:v>1729</c:v>
                </c:pt>
              </c:numCache>
            </c:numRef>
          </c:val>
          <c:extLst>
            <c:ext xmlns:c16="http://schemas.microsoft.com/office/drawing/2014/chart" uri="{C3380CC4-5D6E-409C-BE32-E72D297353CC}">
              <c16:uniqueId val="{00000000-9170-4E07-84EA-F72D1645256B}"/>
            </c:ext>
          </c:extLst>
        </c:ser>
        <c:dLbls>
          <c:dLblPos val="inEnd"/>
          <c:showLegendKey val="0"/>
          <c:showVal val="1"/>
          <c:showCatName val="0"/>
          <c:showSerName val="0"/>
          <c:showPercent val="0"/>
          <c:showBubbleSize val="0"/>
        </c:dLbls>
        <c:gapWidth val="199"/>
        <c:axId val="630139904"/>
        <c:axId val="630137024"/>
      </c:barChart>
      <c:catAx>
        <c:axId val="63013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30137024"/>
        <c:crosses val="autoZero"/>
        <c:auto val="1"/>
        <c:lblAlgn val="ctr"/>
        <c:lblOffset val="100"/>
        <c:noMultiLvlLbl val="0"/>
      </c:catAx>
      <c:valAx>
        <c:axId val="6301370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13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data set.xlsx]Sheet5!PivotTable4</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PRODUCT</a:t>
            </a:r>
            <a:r>
              <a:rPr lang="en-US" baseline="0"/>
              <a:t> SALES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doughnutChart>
        <c:varyColors val="1"/>
        <c:ser>
          <c:idx val="0"/>
          <c:order val="0"/>
          <c:tx>
            <c:strRef>
              <c:f>Sheet5!$B$3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DBC6-41CA-8DEF-7FA410B5491F}"/>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DBC6-41CA-8DEF-7FA410B5491F}"/>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DBC6-41CA-8DEF-7FA410B5491F}"/>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DBC6-41CA-8DEF-7FA410B5491F}"/>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DBC6-41CA-8DEF-7FA410B5491F}"/>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DBC6-41CA-8DEF-7FA410B5491F}"/>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DBC6-41CA-8DEF-7FA410B5491F}"/>
              </c:ext>
            </c:extLst>
          </c:dPt>
          <c:cat>
            <c:strRef>
              <c:f>Sheet5!$A$4:$A$11</c:f>
              <c:strCache>
                <c:ptCount val="7"/>
                <c:pt idx="0">
                  <c:v>headphones</c:v>
                </c:pt>
                <c:pt idx="1">
                  <c:v>keyboard</c:v>
                </c:pt>
                <c:pt idx="2">
                  <c:v>keypad</c:v>
                </c:pt>
                <c:pt idx="3">
                  <c:v>laptop</c:v>
                </c:pt>
                <c:pt idx="4">
                  <c:v>mobiles</c:v>
                </c:pt>
                <c:pt idx="5">
                  <c:v>monitor</c:v>
                </c:pt>
                <c:pt idx="6">
                  <c:v>mouse</c:v>
                </c:pt>
              </c:strCache>
            </c:strRef>
          </c:cat>
          <c:val>
            <c:numRef>
              <c:f>Sheet5!$B$4:$B$11</c:f>
              <c:numCache>
                <c:formatCode>General</c:formatCode>
                <c:ptCount val="7"/>
                <c:pt idx="0">
                  <c:v>21253</c:v>
                </c:pt>
                <c:pt idx="1">
                  <c:v>34837</c:v>
                </c:pt>
                <c:pt idx="2">
                  <c:v>27540</c:v>
                </c:pt>
                <c:pt idx="3">
                  <c:v>452640</c:v>
                </c:pt>
                <c:pt idx="4">
                  <c:v>326960</c:v>
                </c:pt>
                <c:pt idx="5">
                  <c:v>187520</c:v>
                </c:pt>
                <c:pt idx="6">
                  <c:v>7005</c:v>
                </c:pt>
              </c:numCache>
            </c:numRef>
          </c:val>
          <c:extLst>
            <c:ext xmlns:c16="http://schemas.microsoft.com/office/drawing/2014/chart" uri="{C3380CC4-5D6E-409C-BE32-E72D297353CC}">
              <c16:uniqueId val="{00000000-7D8B-428F-9BA3-B77136D83ED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594360</xdr:colOff>
      <xdr:row>4</xdr:row>
      <xdr:rowOff>41910</xdr:rowOff>
    </xdr:from>
    <xdr:to>
      <xdr:col>11</xdr:col>
      <xdr:colOff>320040</xdr:colOff>
      <xdr:row>19</xdr:row>
      <xdr:rowOff>41910</xdr:rowOff>
    </xdr:to>
    <xdr:graphicFrame macro="">
      <xdr:nvGraphicFramePr>
        <xdr:cNvPr id="2" name="Chart 1">
          <a:extLst>
            <a:ext uri="{FF2B5EF4-FFF2-40B4-BE49-F238E27FC236}">
              <a16:creationId xmlns:a16="http://schemas.microsoft.com/office/drawing/2014/main" id="{1DA798AC-98A9-B297-CAC5-7D3BA14A5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579119</xdr:colOff>
      <xdr:row>2</xdr:row>
      <xdr:rowOff>167639</xdr:rowOff>
    </xdr:from>
    <xdr:to>
      <xdr:col>9</xdr:col>
      <xdr:colOff>336698</xdr:colOff>
      <xdr:row>19</xdr:row>
      <xdr:rowOff>70883</xdr:rowOff>
    </xdr:to>
    <xdr:graphicFrame macro="">
      <xdr:nvGraphicFramePr>
        <xdr:cNvPr id="2" name="Chart 1">
          <a:extLst>
            <a:ext uri="{FF2B5EF4-FFF2-40B4-BE49-F238E27FC236}">
              <a16:creationId xmlns:a16="http://schemas.microsoft.com/office/drawing/2014/main" id="{168FAA4D-890C-4B13-96E5-395D33F0D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457199</xdr:colOff>
      <xdr:row>3</xdr:row>
      <xdr:rowOff>15240</xdr:rowOff>
    </xdr:from>
    <xdr:to>
      <xdr:col>12</xdr:col>
      <xdr:colOff>505536</xdr:colOff>
      <xdr:row>11</xdr:row>
      <xdr:rowOff>15239</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B8032060-A72A-D9F3-EA7B-018A80E526C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958672" y="567899"/>
              <a:ext cx="1882161" cy="1473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602512</xdr:colOff>
      <xdr:row>3</xdr:row>
      <xdr:rowOff>0</xdr:rowOff>
    </xdr:from>
    <xdr:to>
      <xdr:col>20</xdr:col>
      <xdr:colOff>607886</xdr:colOff>
      <xdr:row>19</xdr:row>
      <xdr:rowOff>62023</xdr:rowOff>
    </xdr:to>
    <xdr:graphicFrame macro="">
      <xdr:nvGraphicFramePr>
        <xdr:cNvPr id="4" name="Chart 3">
          <a:extLst>
            <a:ext uri="{FF2B5EF4-FFF2-40B4-BE49-F238E27FC236}">
              <a16:creationId xmlns:a16="http://schemas.microsoft.com/office/drawing/2014/main" id="{41F8C384-A7CE-49FB-B66D-EECD159C5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9</xdr:col>
      <xdr:colOff>458161</xdr:colOff>
      <xdr:row>11</xdr:row>
      <xdr:rowOff>88426</xdr:rowOff>
    </xdr:from>
    <xdr:to>
      <xdr:col>12</xdr:col>
      <xdr:colOff>465361</xdr:colOff>
      <xdr:row>17</xdr:row>
      <xdr:rowOff>14826</xdr:rowOff>
    </xdr:to>
    <xdr:sp macro="" textlink="">
      <xdr:nvSpPr>
        <xdr:cNvPr id="5" name="Rectangle 4">
          <a:extLst>
            <a:ext uri="{FF2B5EF4-FFF2-40B4-BE49-F238E27FC236}">
              <a16:creationId xmlns:a16="http://schemas.microsoft.com/office/drawing/2014/main" id="{3D41F139-D2C2-8275-3761-18D22EA26F62}"/>
            </a:ext>
          </a:extLst>
        </xdr:cNvPr>
        <xdr:cNvSpPr/>
      </xdr:nvSpPr>
      <xdr:spPr>
        <a:xfrm>
          <a:off x="5971455" y="2060661"/>
          <a:ext cx="1844965" cy="1002165"/>
        </a:xfrm>
        <a:prstGeom prst="rect">
          <a:avLst/>
        </a:prstGeom>
        <a:gradFill>
          <a:gsLst>
            <a:gs pos="0">
              <a:schemeClr val="accent1">
                <a:lumMod val="21000"/>
                <a:lumOff val="79000"/>
              </a:schemeClr>
            </a:gs>
            <a:gs pos="74000">
              <a:schemeClr val="accent1">
                <a:lumMod val="45000"/>
                <a:lumOff val="55000"/>
              </a:schemeClr>
            </a:gs>
            <a:gs pos="30000">
              <a:schemeClr val="accent1">
                <a:lumMod val="52000"/>
                <a:lumOff val="48000"/>
              </a:schemeClr>
            </a:gs>
            <a:gs pos="100000">
              <a:schemeClr val="accent1">
                <a:lumMod val="30000"/>
                <a:lumOff val="70000"/>
              </a:schemeClr>
            </a:gs>
          </a:gsLst>
          <a:path path="circle">
            <a:fillToRect l="100000" t="100000"/>
          </a:path>
        </a:gradFill>
        <a:ln cap="sq" cmpd="thickThin">
          <a:solidFill>
            <a:srgbClr val="002060">
              <a:alpha val="95000"/>
            </a:srgbClr>
          </a:solidFill>
          <a:prstDash val="solid"/>
          <a:round/>
          <a:extLst>
            <a:ext uri="{C807C97D-BFC1-408E-A445-0C87EB9F89A2}">
              <ask:lineSketchStyleProps xmlns:ask="http://schemas.microsoft.com/office/drawing/2018/sketchyshapes" sd="1219033472">
                <a:custGeom>
                  <a:avLst/>
                  <a:gdLst>
                    <a:gd name="csX0" fmla="*/ 0 w 1765052"/>
                    <a:gd name="csY0" fmla="*/ 0 h 1314004"/>
                    <a:gd name="csX1" fmla="*/ 570700 w 1765052"/>
                    <a:gd name="csY1" fmla="*/ 0 h 1314004"/>
                    <a:gd name="csX2" fmla="*/ 1159051 w 1765052"/>
                    <a:gd name="csY2" fmla="*/ 0 h 1314004"/>
                    <a:gd name="csX3" fmla="*/ 1765052 w 1765052"/>
                    <a:gd name="csY3" fmla="*/ 0 h 1314004"/>
                    <a:gd name="csX4" fmla="*/ 1765052 w 1765052"/>
                    <a:gd name="csY4" fmla="*/ 657002 h 1314004"/>
                    <a:gd name="csX5" fmla="*/ 1765052 w 1765052"/>
                    <a:gd name="csY5" fmla="*/ 1314004 h 1314004"/>
                    <a:gd name="csX6" fmla="*/ 1176701 w 1765052"/>
                    <a:gd name="csY6" fmla="*/ 1314004 h 1314004"/>
                    <a:gd name="csX7" fmla="*/ 623652 w 1765052"/>
                    <a:gd name="csY7" fmla="*/ 1314004 h 1314004"/>
                    <a:gd name="csX8" fmla="*/ 0 w 1765052"/>
                    <a:gd name="csY8" fmla="*/ 1314004 h 1314004"/>
                    <a:gd name="csX9" fmla="*/ 0 w 1765052"/>
                    <a:gd name="csY9" fmla="*/ 670142 h 1314004"/>
                    <a:gd name="csX10" fmla="*/ 0 w 1765052"/>
                    <a:gd name="csY10" fmla="*/ 0 h 131400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765052" h="1314004" fill="none" extrusionOk="0">
                      <a:moveTo>
                        <a:pt x="0" y="0"/>
                      </a:moveTo>
                      <a:cubicBezTo>
                        <a:pt x="201189" y="-7827"/>
                        <a:pt x="294349" y="7082"/>
                        <a:pt x="570700" y="0"/>
                      </a:cubicBezTo>
                      <a:cubicBezTo>
                        <a:pt x="847051" y="-7082"/>
                        <a:pt x="889651" y="25142"/>
                        <a:pt x="1159051" y="0"/>
                      </a:cubicBezTo>
                      <a:cubicBezTo>
                        <a:pt x="1428451" y="-25142"/>
                        <a:pt x="1481827" y="12433"/>
                        <a:pt x="1765052" y="0"/>
                      </a:cubicBezTo>
                      <a:cubicBezTo>
                        <a:pt x="1772268" y="232927"/>
                        <a:pt x="1779456" y="409886"/>
                        <a:pt x="1765052" y="657002"/>
                      </a:cubicBezTo>
                      <a:cubicBezTo>
                        <a:pt x="1750648" y="904118"/>
                        <a:pt x="1780434" y="1070423"/>
                        <a:pt x="1765052" y="1314004"/>
                      </a:cubicBezTo>
                      <a:cubicBezTo>
                        <a:pt x="1484108" y="1313132"/>
                        <a:pt x="1312340" y="1299418"/>
                        <a:pt x="1176701" y="1314004"/>
                      </a:cubicBezTo>
                      <a:cubicBezTo>
                        <a:pt x="1041062" y="1328590"/>
                        <a:pt x="782377" y="1288525"/>
                        <a:pt x="623652" y="1314004"/>
                      </a:cubicBezTo>
                      <a:cubicBezTo>
                        <a:pt x="464927" y="1339483"/>
                        <a:pt x="172546" y="1312598"/>
                        <a:pt x="0" y="1314004"/>
                      </a:cubicBezTo>
                      <a:cubicBezTo>
                        <a:pt x="21959" y="1081877"/>
                        <a:pt x="8555" y="934308"/>
                        <a:pt x="0" y="670142"/>
                      </a:cubicBezTo>
                      <a:cubicBezTo>
                        <a:pt x="-8555" y="405976"/>
                        <a:pt x="14338" y="204565"/>
                        <a:pt x="0" y="0"/>
                      </a:cubicBezTo>
                      <a:close/>
                    </a:path>
                    <a:path w="1765052" h="1314004" stroke="0" extrusionOk="0">
                      <a:moveTo>
                        <a:pt x="0" y="0"/>
                      </a:moveTo>
                      <a:cubicBezTo>
                        <a:pt x="248228" y="-14258"/>
                        <a:pt x="344990" y="20942"/>
                        <a:pt x="570700" y="0"/>
                      </a:cubicBezTo>
                      <a:cubicBezTo>
                        <a:pt x="796410" y="-20942"/>
                        <a:pt x="852633" y="-413"/>
                        <a:pt x="1106099" y="0"/>
                      </a:cubicBezTo>
                      <a:cubicBezTo>
                        <a:pt x="1359565" y="413"/>
                        <a:pt x="1461309" y="1617"/>
                        <a:pt x="1765052" y="0"/>
                      </a:cubicBezTo>
                      <a:cubicBezTo>
                        <a:pt x="1795541" y="249626"/>
                        <a:pt x="1778016" y="408305"/>
                        <a:pt x="1765052" y="643862"/>
                      </a:cubicBezTo>
                      <a:cubicBezTo>
                        <a:pt x="1752088" y="879419"/>
                        <a:pt x="1795022" y="1107606"/>
                        <a:pt x="1765052" y="1314004"/>
                      </a:cubicBezTo>
                      <a:cubicBezTo>
                        <a:pt x="1593399" y="1288471"/>
                        <a:pt x="1417504" y="1303723"/>
                        <a:pt x="1212002" y="1314004"/>
                      </a:cubicBezTo>
                      <a:cubicBezTo>
                        <a:pt x="1006500" y="1324286"/>
                        <a:pt x="822363" y="1326173"/>
                        <a:pt x="658953" y="1314004"/>
                      </a:cubicBezTo>
                      <a:cubicBezTo>
                        <a:pt x="495543" y="1301835"/>
                        <a:pt x="179515" y="1344829"/>
                        <a:pt x="0" y="1314004"/>
                      </a:cubicBezTo>
                      <a:cubicBezTo>
                        <a:pt x="26481" y="1108343"/>
                        <a:pt x="4588" y="927777"/>
                        <a:pt x="0" y="696422"/>
                      </a:cubicBezTo>
                      <a:cubicBezTo>
                        <a:pt x="-4588" y="465067"/>
                        <a:pt x="31808" y="174700"/>
                        <a:pt x="0" y="0"/>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8000" tIns="0" rIns="108000" bIns="108000" rtlCol="0" anchor="t">
          <a:noAutofit/>
        </a:bodyPr>
        <a:lstStyle/>
        <a:p>
          <a:pPr algn="ctr"/>
          <a:endParaRPr lang="en-IN" sz="1800" b="1" i="1" baseline="0">
            <a:solidFill>
              <a:schemeClr val="tx1">
                <a:lumMod val="75000"/>
                <a:lumOff val="25000"/>
              </a:schemeClr>
            </a:solidFill>
            <a:latin typeface="Bell MT" panose="02020503060305020303" pitchFamily="18" charset="0"/>
          </a:endParaRPr>
        </a:p>
        <a:p>
          <a:pPr algn="ctr"/>
          <a:r>
            <a:rPr lang="en-IN" sz="1800" b="1" i="1" baseline="0">
              <a:solidFill>
                <a:schemeClr val="tx1">
                  <a:lumMod val="75000"/>
                  <a:lumOff val="25000"/>
                </a:schemeClr>
              </a:solidFill>
              <a:latin typeface="Bell MT" panose="02020503060305020303" pitchFamily="18" charset="0"/>
            </a:rPr>
            <a:t>TOTAL SALE</a:t>
          </a:r>
        </a:p>
      </xdr:txBody>
    </xdr:sp>
    <xdr:clientData/>
  </xdr:twoCellAnchor>
  <xdr:twoCellAnchor editAs="absolute">
    <xdr:from>
      <xdr:col>1</xdr:col>
      <xdr:colOff>607883</xdr:colOff>
      <xdr:row>19</xdr:row>
      <xdr:rowOff>179797</xdr:rowOff>
    </xdr:from>
    <xdr:to>
      <xdr:col>9</xdr:col>
      <xdr:colOff>366673</xdr:colOff>
      <xdr:row>34</xdr:row>
      <xdr:rowOff>74830</xdr:rowOff>
    </xdr:to>
    <xdr:graphicFrame macro="">
      <xdr:nvGraphicFramePr>
        <xdr:cNvPr id="7" name="Chart 6">
          <a:extLst>
            <a:ext uri="{FF2B5EF4-FFF2-40B4-BE49-F238E27FC236}">
              <a16:creationId xmlns:a16="http://schemas.microsoft.com/office/drawing/2014/main" id="{D2F02372-7CE2-427C-89B2-FCC2DCCC1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oneCell">
    <xdr:from>
      <xdr:col>12</xdr:col>
      <xdr:colOff>597877</xdr:colOff>
      <xdr:row>20</xdr:row>
      <xdr:rowOff>-1</xdr:rowOff>
    </xdr:from>
    <xdr:to>
      <xdr:col>21</xdr:col>
      <xdr:colOff>0</xdr:colOff>
      <xdr:row>34</xdr:row>
      <xdr:rowOff>105507</xdr:rowOff>
    </xdr:to>
    <xdr:graphicFrame macro="">
      <xdr:nvGraphicFramePr>
        <xdr:cNvPr id="9" name="Chart 8">
          <a:extLst>
            <a:ext uri="{FF2B5EF4-FFF2-40B4-BE49-F238E27FC236}">
              <a16:creationId xmlns:a16="http://schemas.microsoft.com/office/drawing/2014/main" id="{6697FEAE-A6B3-4911-9C7F-BEE6882C0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9</xdr:col>
      <xdr:colOff>491067</xdr:colOff>
      <xdr:row>17</xdr:row>
      <xdr:rowOff>77119</xdr:rowOff>
    </xdr:from>
    <xdr:to>
      <xdr:col>12</xdr:col>
      <xdr:colOff>491066</xdr:colOff>
      <xdr:row>23</xdr:row>
      <xdr:rowOff>50801</xdr:rowOff>
    </xdr:to>
    <xdr:sp macro="" textlink="">
      <xdr:nvSpPr>
        <xdr:cNvPr id="10" name="Rectangle 9">
          <a:extLst>
            <a:ext uri="{FF2B5EF4-FFF2-40B4-BE49-F238E27FC236}">
              <a16:creationId xmlns:a16="http://schemas.microsoft.com/office/drawing/2014/main" id="{A2DB95AA-BE55-4718-B6F1-858EE42BFE29}"/>
            </a:ext>
          </a:extLst>
        </xdr:cNvPr>
        <xdr:cNvSpPr/>
      </xdr:nvSpPr>
      <xdr:spPr>
        <a:xfrm>
          <a:off x="5977467" y="3243652"/>
          <a:ext cx="1828799" cy="1091282"/>
        </a:xfrm>
        <a:prstGeom prst="rect">
          <a:avLst/>
        </a:prstGeom>
        <a:gradFill>
          <a:gsLst>
            <a:gs pos="0">
              <a:schemeClr val="accent1">
                <a:lumMod val="21000"/>
                <a:lumOff val="79000"/>
              </a:schemeClr>
            </a:gs>
            <a:gs pos="74000">
              <a:schemeClr val="accent1">
                <a:lumMod val="45000"/>
                <a:lumOff val="55000"/>
              </a:schemeClr>
            </a:gs>
            <a:gs pos="30000">
              <a:schemeClr val="accent1">
                <a:lumMod val="52000"/>
                <a:lumOff val="48000"/>
              </a:schemeClr>
            </a:gs>
            <a:gs pos="100000">
              <a:schemeClr val="accent1">
                <a:lumMod val="30000"/>
                <a:lumOff val="70000"/>
              </a:schemeClr>
            </a:gs>
          </a:gsLst>
          <a:path path="circle">
            <a:fillToRect l="100000" t="100000"/>
          </a:path>
        </a:gradFill>
        <a:ln cap="sq" cmpd="thickThin">
          <a:solidFill>
            <a:srgbClr val="002060">
              <a:alpha val="95000"/>
            </a:srgbClr>
          </a:solidFill>
          <a:prstDash val="solid"/>
          <a:round/>
          <a:extLst>
            <a:ext uri="{C807C97D-BFC1-408E-A445-0C87EB9F89A2}">
              <ask:lineSketchStyleProps xmlns:ask="http://schemas.microsoft.com/office/drawing/2018/sketchyshapes" sd="1219033472">
                <a:custGeom>
                  <a:avLst/>
                  <a:gdLst>
                    <a:gd name="csX0" fmla="*/ 0 w 1765052"/>
                    <a:gd name="csY0" fmla="*/ 0 h 1314004"/>
                    <a:gd name="csX1" fmla="*/ 570700 w 1765052"/>
                    <a:gd name="csY1" fmla="*/ 0 h 1314004"/>
                    <a:gd name="csX2" fmla="*/ 1159051 w 1765052"/>
                    <a:gd name="csY2" fmla="*/ 0 h 1314004"/>
                    <a:gd name="csX3" fmla="*/ 1765052 w 1765052"/>
                    <a:gd name="csY3" fmla="*/ 0 h 1314004"/>
                    <a:gd name="csX4" fmla="*/ 1765052 w 1765052"/>
                    <a:gd name="csY4" fmla="*/ 657002 h 1314004"/>
                    <a:gd name="csX5" fmla="*/ 1765052 w 1765052"/>
                    <a:gd name="csY5" fmla="*/ 1314004 h 1314004"/>
                    <a:gd name="csX6" fmla="*/ 1176701 w 1765052"/>
                    <a:gd name="csY6" fmla="*/ 1314004 h 1314004"/>
                    <a:gd name="csX7" fmla="*/ 623652 w 1765052"/>
                    <a:gd name="csY7" fmla="*/ 1314004 h 1314004"/>
                    <a:gd name="csX8" fmla="*/ 0 w 1765052"/>
                    <a:gd name="csY8" fmla="*/ 1314004 h 1314004"/>
                    <a:gd name="csX9" fmla="*/ 0 w 1765052"/>
                    <a:gd name="csY9" fmla="*/ 670142 h 1314004"/>
                    <a:gd name="csX10" fmla="*/ 0 w 1765052"/>
                    <a:gd name="csY10" fmla="*/ 0 h 131400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765052" h="1314004" fill="none" extrusionOk="0">
                      <a:moveTo>
                        <a:pt x="0" y="0"/>
                      </a:moveTo>
                      <a:cubicBezTo>
                        <a:pt x="201189" y="-7827"/>
                        <a:pt x="294349" y="7082"/>
                        <a:pt x="570700" y="0"/>
                      </a:cubicBezTo>
                      <a:cubicBezTo>
                        <a:pt x="847051" y="-7082"/>
                        <a:pt x="889651" y="25142"/>
                        <a:pt x="1159051" y="0"/>
                      </a:cubicBezTo>
                      <a:cubicBezTo>
                        <a:pt x="1428451" y="-25142"/>
                        <a:pt x="1481827" y="12433"/>
                        <a:pt x="1765052" y="0"/>
                      </a:cubicBezTo>
                      <a:cubicBezTo>
                        <a:pt x="1772268" y="232927"/>
                        <a:pt x="1779456" y="409886"/>
                        <a:pt x="1765052" y="657002"/>
                      </a:cubicBezTo>
                      <a:cubicBezTo>
                        <a:pt x="1750648" y="904118"/>
                        <a:pt x="1780434" y="1070423"/>
                        <a:pt x="1765052" y="1314004"/>
                      </a:cubicBezTo>
                      <a:cubicBezTo>
                        <a:pt x="1484108" y="1313132"/>
                        <a:pt x="1312340" y="1299418"/>
                        <a:pt x="1176701" y="1314004"/>
                      </a:cubicBezTo>
                      <a:cubicBezTo>
                        <a:pt x="1041062" y="1328590"/>
                        <a:pt x="782377" y="1288525"/>
                        <a:pt x="623652" y="1314004"/>
                      </a:cubicBezTo>
                      <a:cubicBezTo>
                        <a:pt x="464927" y="1339483"/>
                        <a:pt x="172546" y="1312598"/>
                        <a:pt x="0" y="1314004"/>
                      </a:cubicBezTo>
                      <a:cubicBezTo>
                        <a:pt x="21959" y="1081877"/>
                        <a:pt x="8555" y="934308"/>
                        <a:pt x="0" y="670142"/>
                      </a:cubicBezTo>
                      <a:cubicBezTo>
                        <a:pt x="-8555" y="405976"/>
                        <a:pt x="14338" y="204565"/>
                        <a:pt x="0" y="0"/>
                      </a:cubicBezTo>
                      <a:close/>
                    </a:path>
                    <a:path w="1765052" h="1314004" stroke="0" extrusionOk="0">
                      <a:moveTo>
                        <a:pt x="0" y="0"/>
                      </a:moveTo>
                      <a:cubicBezTo>
                        <a:pt x="248228" y="-14258"/>
                        <a:pt x="344990" y="20942"/>
                        <a:pt x="570700" y="0"/>
                      </a:cubicBezTo>
                      <a:cubicBezTo>
                        <a:pt x="796410" y="-20942"/>
                        <a:pt x="852633" y="-413"/>
                        <a:pt x="1106099" y="0"/>
                      </a:cubicBezTo>
                      <a:cubicBezTo>
                        <a:pt x="1359565" y="413"/>
                        <a:pt x="1461309" y="1617"/>
                        <a:pt x="1765052" y="0"/>
                      </a:cubicBezTo>
                      <a:cubicBezTo>
                        <a:pt x="1795541" y="249626"/>
                        <a:pt x="1778016" y="408305"/>
                        <a:pt x="1765052" y="643862"/>
                      </a:cubicBezTo>
                      <a:cubicBezTo>
                        <a:pt x="1752088" y="879419"/>
                        <a:pt x="1795022" y="1107606"/>
                        <a:pt x="1765052" y="1314004"/>
                      </a:cubicBezTo>
                      <a:cubicBezTo>
                        <a:pt x="1593399" y="1288471"/>
                        <a:pt x="1417504" y="1303723"/>
                        <a:pt x="1212002" y="1314004"/>
                      </a:cubicBezTo>
                      <a:cubicBezTo>
                        <a:pt x="1006500" y="1324286"/>
                        <a:pt x="822363" y="1326173"/>
                        <a:pt x="658953" y="1314004"/>
                      </a:cubicBezTo>
                      <a:cubicBezTo>
                        <a:pt x="495543" y="1301835"/>
                        <a:pt x="179515" y="1344829"/>
                        <a:pt x="0" y="1314004"/>
                      </a:cubicBezTo>
                      <a:cubicBezTo>
                        <a:pt x="26481" y="1108343"/>
                        <a:pt x="4588" y="927777"/>
                        <a:pt x="0" y="696422"/>
                      </a:cubicBezTo>
                      <a:cubicBezTo>
                        <a:pt x="-4588" y="465067"/>
                        <a:pt x="31808" y="174700"/>
                        <a:pt x="0" y="0"/>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rIns="108000" bIns="72000" rtlCol="0" anchor="t">
          <a:noAutofit/>
        </a:bodyPr>
        <a:lstStyle/>
        <a:p>
          <a:pPr algn="ctr"/>
          <a:endParaRPr lang="en-IN" sz="1600" b="1" i="1">
            <a:solidFill>
              <a:schemeClr val="tx1">
                <a:lumMod val="75000"/>
                <a:lumOff val="25000"/>
              </a:schemeClr>
            </a:solidFill>
            <a:latin typeface="Bell MT" panose="02020503060305020303" pitchFamily="18" charset="0"/>
          </a:endParaRPr>
        </a:p>
        <a:p>
          <a:pPr algn="ctr"/>
          <a:r>
            <a:rPr lang="en-IN" sz="1600" b="1" i="1">
              <a:solidFill>
                <a:schemeClr val="tx1">
                  <a:lumMod val="75000"/>
                  <a:lumOff val="25000"/>
                </a:schemeClr>
              </a:solidFill>
              <a:latin typeface="Bell MT" panose="02020503060305020303" pitchFamily="18" charset="0"/>
            </a:rPr>
            <a:t>TOTAL</a:t>
          </a:r>
          <a:r>
            <a:rPr lang="en-IN" sz="1600" b="1" i="1" baseline="0">
              <a:solidFill>
                <a:schemeClr val="tx1">
                  <a:lumMod val="75000"/>
                  <a:lumOff val="25000"/>
                </a:schemeClr>
              </a:solidFill>
              <a:latin typeface="Bell MT" panose="02020503060305020303" pitchFamily="18" charset="0"/>
            </a:rPr>
            <a:t> PROFIT</a:t>
          </a:r>
        </a:p>
        <a:p>
          <a:pPr algn="ctr"/>
          <a:r>
            <a:rPr lang="en-IN" sz="2800" b="1" i="0" u="none" strike="noStrike">
              <a:ln>
                <a:solidFill>
                  <a:srgbClr val="002060"/>
                </a:solidFill>
              </a:ln>
              <a:solidFill>
                <a:schemeClr val="tx1">
                  <a:lumMod val="75000"/>
                  <a:lumOff val="25000"/>
                </a:schemeClr>
              </a:solidFill>
              <a:effectLst/>
              <a:latin typeface="Bell MT" panose="02020503060305020303" pitchFamily="18" charset="0"/>
              <a:ea typeface="+mn-ea"/>
              <a:cs typeface="+mn-cs"/>
            </a:rPr>
            <a:t>₹</a:t>
          </a:r>
          <a:r>
            <a:rPr lang="en-IN" sz="2800" b="1" i="0" u="none" strike="noStrike">
              <a:ln>
                <a:solidFill>
                  <a:srgbClr val="002060"/>
                </a:solidFill>
              </a:ln>
              <a:solidFill>
                <a:schemeClr val="tx1">
                  <a:lumMod val="95000"/>
                  <a:lumOff val="5000"/>
                </a:schemeClr>
              </a:solidFill>
              <a:effectLst/>
              <a:latin typeface="Bell MT" panose="02020503060305020303" pitchFamily="18" charset="0"/>
              <a:ea typeface="+mn-ea"/>
              <a:cs typeface="+mn-cs"/>
            </a:rPr>
            <a:t>122260</a:t>
          </a:r>
          <a:r>
            <a:rPr lang="en-IN" sz="1600">
              <a:effectLst/>
            </a:rPr>
            <a:t> </a:t>
          </a:r>
          <a:endParaRPr lang="en-IN" sz="1600" b="1" i="1">
            <a:solidFill>
              <a:schemeClr val="tx1">
                <a:lumMod val="75000"/>
                <a:lumOff val="25000"/>
              </a:schemeClr>
            </a:solidFill>
            <a:latin typeface="Bell MT" panose="02020503060305020303" pitchFamily="18" charset="0"/>
          </a:endParaRPr>
        </a:p>
      </xdr:txBody>
    </xdr:sp>
    <xdr:clientData/>
  </xdr:twoCellAnchor>
  <xdr:twoCellAnchor editAs="oneCell">
    <xdr:from>
      <xdr:col>9</xdr:col>
      <xdr:colOff>513080</xdr:colOff>
      <xdr:row>29</xdr:row>
      <xdr:rowOff>70884</xdr:rowOff>
    </xdr:from>
    <xdr:to>
      <xdr:col>12</xdr:col>
      <xdr:colOff>474133</xdr:colOff>
      <xdr:row>34</xdr:row>
      <xdr:rowOff>70884</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D3B28931-CF8A-DB1E-675E-279DFB9374D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014553" y="5413258"/>
              <a:ext cx="1794877" cy="92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499140</xdr:colOff>
      <xdr:row>23</xdr:row>
      <xdr:rowOff>132907</xdr:rowOff>
    </xdr:from>
    <xdr:to>
      <xdr:col>12</xdr:col>
      <xdr:colOff>482207</xdr:colOff>
      <xdr:row>29</xdr:row>
      <xdr:rowOff>0</xdr:rowOff>
    </xdr:to>
    <xdr:sp macro="" textlink="">
      <xdr:nvSpPr>
        <xdr:cNvPr id="16" name="Rectangle 15">
          <a:extLst>
            <a:ext uri="{FF2B5EF4-FFF2-40B4-BE49-F238E27FC236}">
              <a16:creationId xmlns:a16="http://schemas.microsoft.com/office/drawing/2014/main" id="{36E6D3A3-A378-1D5D-EA8A-3D1483627894}"/>
            </a:ext>
          </a:extLst>
        </xdr:cNvPr>
        <xdr:cNvSpPr/>
      </xdr:nvSpPr>
      <xdr:spPr>
        <a:xfrm>
          <a:off x="6001489" y="4412512"/>
          <a:ext cx="1817183" cy="983511"/>
        </a:xfrm>
        <a:prstGeom prst="rect">
          <a:avLst/>
        </a:prstGeom>
        <a:gradFill flip="none" rotWithShape="1">
          <a:gsLst>
            <a:gs pos="0">
              <a:srgbClr val="0070C0">
                <a:tint val="66000"/>
                <a:satMod val="160000"/>
              </a:srgbClr>
            </a:gs>
            <a:gs pos="50000">
              <a:srgbClr val="0070C0">
                <a:tint val="44500"/>
                <a:satMod val="160000"/>
              </a:srgbClr>
            </a:gs>
            <a:gs pos="100000">
              <a:srgbClr val="0070C0">
                <a:tint val="23500"/>
                <a:satMod val="160000"/>
              </a:srgb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i="1">
              <a:solidFill>
                <a:schemeClr val="tx1">
                  <a:lumMod val="75000"/>
                  <a:lumOff val="25000"/>
                </a:schemeClr>
              </a:solidFill>
              <a:latin typeface="Bell MT" panose="02020503060305020303" pitchFamily="18" charset="0"/>
            </a:rPr>
            <a:t>TOTAL QUANTITY</a:t>
          </a:r>
        </a:p>
        <a:p>
          <a:pPr algn="ctr"/>
          <a:r>
            <a:rPr lang="en-IN" sz="2000" b="1" i="1" u="none" strike="noStrike">
              <a:ln>
                <a:solidFill>
                  <a:srgbClr val="002060"/>
                </a:solidFill>
              </a:ln>
              <a:solidFill>
                <a:schemeClr val="tx1">
                  <a:lumMod val="75000"/>
                  <a:lumOff val="25000"/>
                </a:schemeClr>
              </a:solidFill>
              <a:effectLst/>
              <a:latin typeface="Bell MT" panose="02020503060305020303" pitchFamily="18" charset="0"/>
              <a:ea typeface="+mn-ea"/>
              <a:cs typeface="+mn-cs"/>
            </a:rPr>
            <a:t>270</a:t>
          </a:r>
          <a:r>
            <a:rPr lang="en-IN" sz="2000" b="1" i="1">
              <a:solidFill>
                <a:schemeClr val="tx1">
                  <a:lumMod val="75000"/>
                  <a:lumOff val="25000"/>
                </a:schemeClr>
              </a:solidFill>
              <a:effectLst/>
              <a:latin typeface="Bell MT" panose="02020503060305020303" pitchFamily="18" charset="0"/>
            </a:rPr>
            <a:t> </a:t>
          </a:r>
          <a:endParaRPr lang="en-IN" sz="2000" b="1" i="1">
            <a:solidFill>
              <a:schemeClr val="tx1">
                <a:lumMod val="75000"/>
                <a:lumOff val="25000"/>
              </a:schemeClr>
            </a:solidFill>
            <a:latin typeface="Bell MT" panose="02020503060305020303" pitchFamily="18" charset="0"/>
          </a:endParaRPr>
        </a:p>
        <a:p>
          <a:pPr algn="l"/>
          <a:endParaRPr lang="en-IN" sz="1100">
            <a:solidFill>
              <a:schemeClr val="lt1"/>
            </a:solidFill>
          </a:endParaRPr>
        </a:p>
      </xdr:txBody>
    </xdr:sp>
    <xdr:clientData/>
  </xdr:twoCellAnchor>
  <xdr:twoCellAnchor>
    <xdr:from>
      <xdr:col>1</xdr:col>
      <xdr:colOff>569406</xdr:colOff>
      <xdr:row>0</xdr:row>
      <xdr:rowOff>58616</xdr:rowOff>
    </xdr:from>
    <xdr:to>
      <xdr:col>20</xdr:col>
      <xdr:colOff>594527</xdr:colOff>
      <xdr:row>2</xdr:row>
      <xdr:rowOff>142352</xdr:rowOff>
    </xdr:to>
    <xdr:sp macro="" textlink="">
      <xdr:nvSpPr>
        <xdr:cNvPr id="17" name="TextBox 16">
          <a:extLst>
            <a:ext uri="{FF2B5EF4-FFF2-40B4-BE49-F238E27FC236}">
              <a16:creationId xmlns:a16="http://schemas.microsoft.com/office/drawing/2014/main" id="{315A4F11-7B28-5F06-11AC-6A8FC2BE1660}"/>
            </a:ext>
          </a:extLst>
        </xdr:cNvPr>
        <xdr:cNvSpPr txBox="1"/>
      </xdr:nvSpPr>
      <xdr:spPr>
        <a:xfrm>
          <a:off x="1180681" y="58616"/>
          <a:ext cx="11639341" cy="45217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latin typeface="Algerian" panose="04020705040A02060702" pitchFamily="82" charset="0"/>
            </a:rPr>
            <a:t>ELECTRONIC</a:t>
          </a:r>
          <a:r>
            <a:rPr lang="en-IN" sz="2400" baseline="0">
              <a:latin typeface="Algerian" panose="04020705040A02060702" pitchFamily="82" charset="0"/>
            </a:rPr>
            <a:t> SALES ANALYSis dashboard - rishi store</a:t>
          </a:r>
          <a:endParaRPr lang="en-IN" sz="2400">
            <a:latin typeface="Algerian" panose="04020705040A02060702" pitchFamily="82" charset="0"/>
          </a:endParaRPr>
        </a:p>
      </xdr:txBody>
    </xdr:sp>
    <xdr:clientData/>
  </xdr:twoCellAnchor>
  <xdr:twoCellAnchor>
    <xdr:from>
      <xdr:col>10</xdr:col>
      <xdr:colOff>8194</xdr:colOff>
      <xdr:row>14</xdr:row>
      <xdr:rowOff>73742</xdr:rowOff>
    </xdr:from>
    <xdr:to>
      <xdr:col>12</xdr:col>
      <xdr:colOff>376903</xdr:colOff>
      <xdr:row>16</xdr:row>
      <xdr:rowOff>81937</xdr:rowOff>
    </xdr:to>
    <xdr:sp macro="" textlink="">
      <xdr:nvSpPr>
        <xdr:cNvPr id="6" name="TextBox 5">
          <a:extLst>
            <a:ext uri="{FF2B5EF4-FFF2-40B4-BE49-F238E27FC236}">
              <a16:creationId xmlns:a16="http://schemas.microsoft.com/office/drawing/2014/main" id="{E9B762A2-1A07-6B15-F319-5D9DB914056E}"/>
            </a:ext>
          </a:extLst>
        </xdr:cNvPr>
        <xdr:cNvSpPr txBox="1"/>
      </xdr:nvSpPr>
      <xdr:spPr>
        <a:xfrm>
          <a:off x="6071420" y="2597355"/>
          <a:ext cx="1581354" cy="368711"/>
        </a:xfrm>
        <a:prstGeom prst="rect">
          <a:avLst/>
        </a:prstGeom>
        <a:gradFill>
          <a:gsLst>
            <a:gs pos="0">
              <a:schemeClr val="accent1">
                <a:lumMod val="21000"/>
                <a:lumOff val="79000"/>
              </a:schemeClr>
            </a:gs>
            <a:gs pos="74000">
              <a:schemeClr val="accent1">
                <a:lumMod val="45000"/>
                <a:lumOff val="55000"/>
              </a:schemeClr>
            </a:gs>
            <a:gs pos="30000">
              <a:schemeClr val="accent1">
                <a:lumMod val="52000"/>
                <a:lumOff val="48000"/>
              </a:schemeClr>
            </a:gs>
            <a:gs pos="100000">
              <a:schemeClr val="accent1">
                <a:lumMod val="30000"/>
                <a:lumOff val="70000"/>
              </a:schemeClr>
            </a:gs>
          </a:gsLst>
          <a:path path="circle">
            <a:fillToRect l="100000" t="100000"/>
          </a:path>
        </a:gradFill>
        <a:ln w="0" cmpd="sng">
          <a:solidFill>
            <a:srgbClr val="002060">
              <a:alpha val="7800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n>
                <a:solidFill>
                  <a:srgbClr val="002060"/>
                </a:solidFill>
              </a:ln>
              <a:latin typeface="Bell MT" panose="02020503060305020303" pitchFamily="18" charset="0"/>
            </a:rPr>
            <a:t>₹1057755</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8</xdr:row>
      <xdr:rowOff>22860</xdr:rowOff>
    </xdr:from>
    <xdr:to>
      <xdr:col>11</xdr:col>
      <xdr:colOff>365760</xdr:colOff>
      <xdr:row>23</xdr:row>
      <xdr:rowOff>148590</xdr:rowOff>
    </xdr:to>
    <xdr:graphicFrame macro="">
      <xdr:nvGraphicFramePr>
        <xdr:cNvPr id="2" name="Chart 1">
          <a:extLst>
            <a:ext uri="{FF2B5EF4-FFF2-40B4-BE49-F238E27FC236}">
              <a16:creationId xmlns:a16="http://schemas.microsoft.com/office/drawing/2014/main" id="{DFBAB2CA-2B44-171B-238D-8CA1F478E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434340</xdr:colOff>
      <xdr:row>4</xdr:row>
      <xdr:rowOff>102870</xdr:rowOff>
    </xdr:from>
    <xdr:to>
      <xdr:col>11</xdr:col>
      <xdr:colOff>129540</xdr:colOff>
      <xdr:row>19</xdr:row>
      <xdr:rowOff>102870</xdr:rowOff>
    </xdr:to>
    <xdr:graphicFrame macro="">
      <xdr:nvGraphicFramePr>
        <xdr:cNvPr id="2" name="Chart 1">
          <a:extLst>
            <a:ext uri="{FF2B5EF4-FFF2-40B4-BE49-F238E27FC236}">
              <a16:creationId xmlns:a16="http://schemas.microsoft.com/office/drawing/2014/main" id="{97B8D712-2338-8CC4-1265-8E304962DA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60960</xdr:colOff>
      <xdr:row>8</xdr:row>
      <xdr:rowOff>148590</xdr:rowOff>
    </xdr:from>
    <xdr:to>
      <xdr:col>11</xdr:col>
      <xdr:colOff>365760</xdr:colOff>
      <xdr:row>23</xdr:row>
      <xdr:rowOff>148590</xdr:rowOff>
    </xdr:to>
    <xdr:graphicFrame macro="">
      <xdr:nvGraphicFramePr>
        <xdr:cNvPr id="2" name="Chart 1">
          <a:extLst>
            <a:ext uri="{FF2B5EF4-FFF2-40B4-BE49-F238E27FC236}">
              <a16:creationId xmlns:a16="http://schemas.microsoft.com/office/drawing/2014/main" id="{74074283-429F-E221-E71D-EAC7CA6F6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aa" refreshedDate="46172.43759710648" createdVersion="8" refreshedVersion="8" minRefreshableVersion="3" recordCount="45" xr:uid="{80E2D0E4-BB11-4A42-84F0-907C09C63F67}">
  <cacheSource type="worksheet">
    <worksheetSource ref="A2:G47" sheet="Sheet1"/>
  </cacheSource>
  <cacheFields count="9">
    <cacheField name="S.no" numFmtId="0">
      <sharedItems containsSemiMixedTypes="0" containsString="0" containsNumber="1" containsInteger="1" minValue="1" maxValue="45"/>
    </cacheField>
    <cacheField name="Date" numFmtId="14">
      <sharedItems containsSemiMixedTypes="0" containsNonDate="0" containsDate="1" containsString="0" minDate="2026-01-03T00:00:00" maxDate="2026-07-01T00:00:00" count="45">
        <d v="2026-01-03T00:00:00"/>
        <d v="2026-01-05T00:00:00"/>
        <d v="2026-01-07T00:00:00"/>
        <d v="2026-01-10T00:00:00"/>
        <d v="2026-01-12T00:00:00"/>
        <d v="2026-01-15T00:00:00"/>
        <d v="2026-01-18T00:00:00"/>
        <d v="2026-01-20T00:00:00"/>
        <d v="2026-02-02T00:00:00"/>
        <d v="2026-02-04T00:00:00"/>
        <d v="2026-02-06T00:00:00"/>
        <d v="2026-02-13T00:00:00"/>
        <d v="2026-02-15T00:00:00"/>
        <d v="2026-02-22T00:00:00"/>
        <d v="2026-02-28T00:00:00"/>
        <d v="2026-03-01T00:00:00"/>
        <d v="2026-03-04T00:00:00"/>
        <d v="2026-03-09T00:00:00"/>
        <d v="2026-03-12T00:00:00"/>
        <d v="2026-03-17T00:00:00"/>
        <d v="2026-03-20T00:00:00"/>
        <d v="2026-03-25T00:00:00"/>
        <d v="2026-03-30T00:00:00"/>
        <d v="2026-04-03T00:00:00"/>
        <d v="2026-04-06T00:00:00"/>
        <d v="2026-04-10T00:00:00"/>
        <d v="2026-04-14T00:00:00"/>
        <d v="2026-04-18T00:00:00"/>
        <d v="2026-04-26T00:00:00"/>
        <d v="2026-05-02T00:00:00"/>
        <d v="2026-05-05T00:00:00"/>
        <d v="2026-05-08T00:00:00"/>
        <d v="2026-05-09T00:00:00"/>
        <d v="2026-05-17T00:00:00"/>
        <d v="2026-05-22T00:00:00"/>
        <d v="2026-05-25T00:00:00"/>
        <d v="2026-05-29T00:00:00"/>
        <d v="2026-06-07T00:00:00"/>
        <d v="2026-06-11T00:00:00"/>
        <d v="2026-06-13T00:00:00"/>
        <d v="2026-06-19T00:00:00"/>
        <d v="2026-06-21T00:00:00"/>
        <d v="2026-06-23T00:00:00"/>
        <d v="2026-06-27T00:00:00"/>
        <d v="2026-06-30T00:00:00"/>
      </sharedItems>
      <fieldGroup par="8"/>
    </cacheField>
    <cacheField name="city" numFmtId="0">
      <sharedItems count="5">
        <s v="puri"/>
        <s v="bbsr"/>
        <s v="cuttack"/>
        <s v="sambalpur"/>
        <s v="balangir"/>
      </sharedItems>
    </cacheField>
    <cacheField name="Product" numFmtId="0">
      <sharedItems count="7">
        <s v="laptop"/>
        <s v="mobiles"/>
        <s v="headphones"/>
        <s v="keyboard"/>
        <s v="monitor"/>
        <s v="mouse"/>
        <s v="keypad"/>
      </sharedItems>
    </cacheField>
    <cacheField name="Sales" numFmtId="0">
      <sharedItems containsSemiMixedTypes="0" containsString="0" containsNumber="1" containsInteger="1" minValue="320" maxValue="78900"/>
    </cacheField>
    <cacheField name="Profit" numFmtId="0">
      <sharedItems containsSemiMixedTypes="0" containsString="0" containsNumber="1" containsInteger="1" minValue="50" maxValue="9000"/>
    </cacheField>
    <cacheField name="Quantity" numFmtId="0">
      <sharedItems containsSemiMixedTypes="0" containsString="0" containsNumber="1" containsInteger="1" minValue="2" maxValue="9"/>
    </cacheField>
    <cacheField name="Days (Date)" numFmtId="0" databaseField="0">
      <fieldGroup base="1">
        <rangePr groupBy="days" startDate="2026-01-03T00:00:00" endDate="2026-07-01T00:00:00"/>
        <groupItems count="368">
          <s v="&lt;03-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Date)" numFmtId="0" databaseField="0">
      <fieldGroup base="1">
        <rangePr groupBy="months" startDate="2026-01-03T00:00:00" endDate="2026-07-01T00:00:00"/>
        <groupItems count="14">
          <s v="&lt;03-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8926735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n v="1"/>
    <x v="0"/>
    <x v="0"/>
    <x v="0"/>
    <n v="55000"/>
    <n v="6000"/>
    <n v="5"/>
  </r>
  <r>
    <n v="2"/>
    <x v="1"/>
    <x v="1"/>
    <x v="1"/>
    <n v="45000"/>
    <n v="8000"/>
    <n v="7"/>
  </r>
  <r>
    <n v="3"/>
    <x v="2"/>
    <x v="2"/>
    <x v="2"/>
    <n v="3000"/>
    <n v="500"/>
    <n v="3"/>
  </r>
  <r>
    <n v="4"/>
    <x v="3"/>
    <x v="0"/>
    <x v="3"/>
    <n v="6000"/>
    <n v="709"/>
    <n v="6"/>
  </r>
  <r>
    <n v="5"/>
    <x v="4"/>
    <x v="3"/>
    <x v="4"/>
    <n v="8000"/>
    <n v="6500"/>
    <n v="2"/>
  </r>
  <r>
    <n v="6"/>
    <x v="5"/>
    <x v="4"/>
    <x v="0"/>
    <n v="56000"/>
    <n v="6700"/>
    <n v="7"/>
  </r>
  <r>
    <n v="7"/>
    <x v="6"/>
    <x v="2"/>
    <x v="5"/>
    <n v="2000"/>
    <n v="250"/>
    <n v="8"/>
  </r>
  <r>
    <n v="8"/>
    <x v="7"/>
    <x v="1"/>
    <x v="4"/>
    <n v="34000"/>
    <n v="5599"/>
    <n v="4"/>
  </r>
  <r>
    <n v="9"/>
    <x v="8"/>
    <x v="0"/>
    <x v="3"/>
    <n v="4000"/>
    <n v="890"/>
    <n v="7"/>
  </r>
  <r>
    <n v="10"/>
    <x v="9"/>
    <x v="3"/>
    <x v="2"/>
    <n v="4590"/>
    <n v="390"/>
    <n v="6"/>
  </r>
  <r>
    <n v="11"/>
    <x v="10"/>
    <x v="4"/>
    <x v="0"/>
    <n v="56700"/>
    <n v="8000"/>
    <n v="3"/>
  </r>
  <r>
    <n v="12"/>
    <x v="11"/>
    <x v="0"/>
    <x v="4"/>
    <n v="37000"/>
    <n v="6000"/>
    <n v="6"/>
  </r>
  <r>
    <n v="13"/>
    <x v="12"/>
    <x v="2"/>
    <x v="5"/>
    <n v="390"/>
    <n v="160"/>
    <n v="7"/>
  </r>
  <r>
    <n v="14"/>
    <x v="13"/>
    <x v="4"/>
    <x v="1"/>
    <n v="54900"/>
    <n v="3490"/>
    <n v="8"/>
  </r>
  <r>
    <n v="15"/>
    <x v="14"/>
    <x v="1"/>
    <x v="3"/>
    <n v="6900"/>
    <n v="590"/>
    <n v="5"/>
  </r>
  <r>
    <n v="16"/>
    <x v="15"/>
    <x v="0"/>
    <x v="6"/>
    <n v="4500"/>
    <n v="380"/>
    <n v="9"/>
  </r>
  <r>
    <n v="17"/>
    <x v="16"/>
    <x v="3"/>
    <x v="0"/>
    <n v="65050"/>
    <n v="3000"/>
    <n v="4"/>
  </r>
  <r>
    <n v="18"/>
    <x v="17"/>
    <x v="3"/>
    <x v="2"/>
    <n v="5443"/>
    <n v="347"/>
    <n v="7"/>
  </r>
  <r>
    <n v="19"/>
    <x v="18"/>
    <x v="0"/>
    <x v="4"/>
    <n v="78900"/>
    <n v="4500"/>
    <n v="9"/>
  </r>
  <r>
    <n v="20"/>
    <x v="19"/>
    <x v="4"/>
    <x v="3"/>
    <n v="5430"/>
    <n v="690"/>
    <n v="6"/>
  </r>
  <r>
    <n v="21"/>
    <x v="20"/>
    <x v="1"/>
    <x v="1"/>
    <n v="67500"/>
    <n v="5430"/>
    <n v="5"/>
  </r>
  <r>
    <n v="22"/>
    <x v="21"/>
    <x v="3"/>
    <x v="5"/>
    <n v="955"/>
    <n v="500"/>
    <n v="7"/>
  </r>
  <r>
    <n v="23"/>
    <x v="22"/>
    <x v="0"/>
    <x v="0"/>
    <n v="46750"/>
    <n v="5000"/>
    <n v="5"/>
  </r>
  <r>
    <n v="24"/>
    <x v="23"/>
    <x v="4"/>
    <x v="1"/>
    <n v="35780"/>
    <n v="9000"/>
    <n v="8"/>
  </r>
  <r>
    <n v="25"/>
    <x v="24"/>
    <x v="2"/>
    <x v="0"/>
    <n v="65990"/>
    <n v="6000"/>
    <n v="5"/>
  </r>
  <r>
    <n v="26"/>
    <x v="25"/>
    <x v="3"/>
    <x v="3"/>
    <n v="5007"/>
    <n v="700"/>
    <n v="9"/>
  </r>
  <r>
    <n v="27"/>
    <x v="26"/>
    <x v="0"/>
    <x v="5"/>
    <n v="2890"/>
    <n v="679"/>
    <n v="3"/>
  </r>
  <r>
    <n v="28"/>
    <x v="27"/>
    <x v="3"/>
    <x v="2"/>
    <n v="5670"/>
    <n v="670"/>
    <n v="7"/>
  </r>
  <r>
    <n v="29"/>
    <x v="28"/>
    <x v="2"/>
    <x v="4"/>
    <n v="9800"/>
    <n v="450"/>
    <n v="5"/>
  </r>
  <r>
    <n v="30"/>
    <x v="29"/>
    <x v="4"/>
    <x v="1"/>
    <n v="25900"/>
    <n v="6670"/>
    <n v="3"/>
  </r>
  <r>
    <n v="31"/>
    <x v="30"/>
    <x v="1"/>
    <x v="1"/>
    <n v="31890"/>
    <n v="6533"/>
    <n v="9"/>
  </r>
  <r>
    <n v="32"/>
    <x v="31"/>
    <x v="4"/>
    <x v="5"/>
    <n v="320"/>
    <n v="50"/>
    <n v="5"/>
  </r>
  <r>
    <n v="33"/>
    <x v="32"/>
    <x v="0"/>
    <x v="4"/>
    <n v="9830"/>
    <n v="890"/>
    <n v="6"/>
  </r>
  <r>
    <n v="34"/>
    <x v="33"/>
    <x v="3"/>
    <x v="6"/>
    <n v="11000"/>
    <n v="800"/>
    <n v="7"/>
  </r>
  <r>
    <n v="35"/>
    <x v="34"/>
    <x v="1"/>
    <x v="2"/>
    <n v="890"/>
    <n v="200"/>
    <n v="5"/>
  </r>
  <r>
    <n v="36"/>
    <x v="35"/>
    <x v="2"/>
    <x v="6"/>
    <n v="6790"/>
    <n v="1000"/>
    <n v="7"/>
  </r>
  <r>
    <n v="37"/>
    <x v="36"/>
    <x v="1"/>
    <x v="0"/>
    <n v="71900"/>
    <n v="4900"/>
    <n v="6"/>
  </r>
  <r>
    <n v="38"/>
    <x v="37"/>
    <x v="4"/>
    <x v="0"/>
    <n v="35250"/>
    <n v="2490"/>
    <n v="4"/>
  </r>
  <r>
    <n v="39"/>
    <x v="38"/>
    <x v="3"/>
    <x v="1"/>
    <n v="65990"/>
    <n v="4500"/>
    <n v="6"/>
  </r>
  <r>
    <n v="40"/>
    <x v="39"/>
    <x v="0"/>
    <x v="5"/>
    <n v="450"/>
    <n v="90"/>
    <n v="8"/>
  </r>
  <r>
    <n v="41"/>
    <x v="40"/>
    <x v="1"/>
    <x v="2"/>
    <n v="765"/>
    <n v="157"/>
    <n v="6"/>
  </r>
  <r>
    <n v="42"/>
    <x v="41"/>
    <x v="1"/>
    <x v="2"/>
    <n v="895"/>
    <n v="256"/>
    <n v="7"/>
  </r>
  <r>
    <n v="43"/>
    <x v="42"/>
    <x v="4"/>
    <x v="3"/>
    <n v="7500"/>
    <n v="900"/>
    <n v="5"/>
  </r>
  <r>
    <n v="44"/>
    <x v="43"/>
    <x v="3"/>
    <x v="4"/>
    <n v="9990"/>
    <n v="500"/>
    <n v="9"/>
  </r>
  <r>
    <n v="45"/>
    <x v="44"/>
    <x v="3"/>
    <x v="6"/>
    <n v="5250"/>
    <n v="120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841FFA-4052-40B4-A0A8-F4531107E16E}"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showAll="0">
      <items count="6">
        <item x="4"/>
        <item x="1"/>
        <item x="2"/>
        <item x="0"/>
        <item x="3"/>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Profit" fld="5" baseField="0" baseItem="0"/>
  </dataFields>
  <chartFormats count="2">
    <chartFormat chart="1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60A798-8456-4B59-95A7-D4C988C1D444}"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0" firstHeaderRow="1" firstDataRow="1" firstDataCol="1"/>
  <pivotFields count="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dataField="1" showAll="0"/>
    <pivotField showAll="0"/>
    <pivotField showAll="0"/>
    <pivotField showAll="0">
      <items count="36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sd="0" x="38"/>
        <item sd="0" x="39"/>
        <item sd="0" x="40"/>
        <item sd="0" x="41"/>
        <item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h="1" sd="0" x="86"/>
        <item h="1" sd="0" x="87"/>
        <item h="1" sd="0" x="88"/>
        <item h="1" sd="0" x="89"/>
        <item h="1" sd="0" x="90"/>
        <item h="1" sd="0" x="91"/>
        <item h="1" sd="0" x="92"/>
        <item h="1" sd="0" x="93"/>
        <item h="1" sd="0" x="94"/>
        <item h="1" sd="0" x="95"/>
        <item h="1" sd="0" x="96"/>
        <item h="1" sd="0" x="97"/>
        <item h="1" sd="0" x="98"/>
        <item h="1" sd="0" x="99"/>
        <item h="1" sd="0" x="100"/>
        <item h="1" sd="0" x="101"/>
        <item h="1" sd="0" x="102"/>
        <item h="1" sd="0" x="103"/>
        <item h="1" sd="0" x="104"/>
        <item h="1" sd="0" x="105"/>
        <item h="1" sd="0" x="106"/>
        <item h="1" sd="0" x="107"/>
        <item h="1" sd="0" x="108"/>
        <item h="1" sd="0" x="109"/>
        <item h="1" sd="0" x="110"/>
        <item h="1" sd="0" x="111"/>
        <item h="1" sd="0" x="112"/>
        <item h="1" sd="0" x="113"/>
        <item h="1" sd="0" x="114"/>
        <item h="1" sd="0" x="115"/>
        <item h="1" sd="0" x="116"/>
        <item h="1" sd="0" x="117"/>
        <item h="1" sd="0" x="118"/>
        <item h="1" sd="0" x="119"/>
        <item h="1" sd="0" x="120"/>
        <item h="1" sd="0" x="121"/>
        <item h="1" sd="0" x="122"/>
        <item h="1" sd="0" x="123"/>
        <item h="1" sd="0" x="124"/>
        <item h="1" sd="0" x="125"/>
        <item h="1" sd="0" x="126"/>
        <item h="1" sd="0" x="127"/>
        <item h="1" sd="0" x="128"/>
        <item h="1" sd="0" x="129"/>
        <item h="1" sd="0" x="130"/>
        <item h="1" sd="0" x="131"/>
        <item h="1" sd="0" x="132"/>
        <item h="1" sd="0" x="133"/>
        <item h="1" sd="0" x="134"/>
        <item h="1" sd="0" x="135"/>
        <item h="1" sd="0" x="136"/>
        <item h="1" sd="0" x="137"/>
        <item h="1" sd="0" x="138"/>
        <item h="1" sd="0" x="139"/>
        <item h="1" sd="0" x="140"/>
        <item h="1" sd="0" x="141"/>
        <item h="1" sd="0" x="142"/>
        <item h="1" sd="0" x="143"/>
        <item h="1" sd="0" x="144"/>
        <item h="1" sd="0" x="145"/>
        <item h="1" sd="0" x="146"/>
        <item h="1" sd="0" x="147"/>
        <item h="1" sd="0" x="148"/>
        <item h="1" sd="0" x="149"/>
        <item h="1" sd="0" x="150"/>
        <item h="1" sd="0" x="151"/>
        <item h="1" sd="0" x="152"/>
        <item h="1" sd="0" x="153"/>
        <item h="1" sd="0" x="154"/>
        <item h="1" sd="0" x="155"/>
        <item h="1" sd="0" x="156"/>
        <item h="1" sd="0" x="157"/>
        <item h="1" sd="0" x="158"/>
        <item h="1" sd="0" x="159"/>
        <item h="1" sd="0" x="160"/>
        <item h="1" sd="0" x="161"/>
        <item h="1" sd="0" x="162"/>
        <item h="1" sd="0" x="163"/>
        <item h="1" sd="0" x="164"/>
        <item h="1" sd="0" x="165"/>
        <item h="1" sd="0" x="166"/>
        <item h="1" sd="0" x="167"/>
        <item h="1" sd="0" x="168"/>
        <item h="1" sd="0" x="169"/>
        <item h="1" sd="0" x="170"/>
        <item h="1" sd="0" x="171"/>
        <item h="1" sd="0" x="172"/>
        <item h="1" sd="0" x="173"/>
        <item h="1" sd="0" x="174"/>
        <item h="1" sd="0" x="175"/>
        <item h="1" sd="0" x="176"/>
        <item h="1" sd="0" x="177"/>
        <item h="1" sd="0" x="178"/>
        <item h="1" sd="0" x="179"/>
        <item h="1" sd="0" x="180"/>
        <item h="1" sd="0" x="181"/>
        <item h="1" sd="0" x="182"/>
        <item h="1" sd="0" x="183"/>
        <item h="1" sd="0" x="184"/>
        <item h="1" sd="0" x="185"/>
        <item h="1" sd="0" x="186"/>
        <item h="1" sd="0" x="187"/>
        <item h="1" sd="0" x="188"/>
        <item h="1" sd="0" x="189"/>
        <item h="1" sd="0" x="190"/>
        <item h="1" sd="0" x="191"/>
        <item h="1" sd="0" x="192"/>
        <item h="1" sd="0" x="193"/>
        <item h="1" sd="0" x="194"/>
        <item h="1" sd="0" x="195"/>
        <item h="1" sd="0" x="196"/>
        <item h="1" sd="0" x="197"/>
        <item h="1" sd="0" x="198"/>
        <item h="1" sd="0" x="199"/>
        <item h="1" sd="0" x="200"/>
        <item h="1" sd="0" x="201"/>
        <item h="1" sd="0" x="202"/>
        <item h="1" sd="0" x="203"/>
        <item h="1" sd="0" x="204"/>
        <item h="1" sd="0" x="205"/>
        <item h="1" sd="0" x="206"/>
        <item h="1" sd="0" x="207"/>
        <item h="1" sd="0" x="208"/>
        <item h="1" sd="0" x="209"/>
        <item h="1" sd="0" x="210"/>
        <item h="1" sd="0" x="211"/>
        <item h="1" sd="0" x="212"/>
        <item h="1" sd="0" x="213"/>
        <item h="1" sd="0" x="214"/>
        <item h="1" sd="0" x="215"/>
        <item h="1" sd="0" x="216"/>
        <item h="1" sd="0" x="217"/>
        <item h="1" sd="0" x="218"/>
        <item h="1" sd="0" x="219"/>
        <item h="1" sd="0" x="220"/>
        <item h="1" sd="0" x="221"/>
        <item h="1" sd="0" x="222"/>
        <item h="1" sd="0" x="223"/>
        <item h="1" sd="0" x="224"/>
        <item h="1" sd="0" x="225"/>
        <item h="1" sd="0" x="226"/>
        <item h="1" sd="0" x="227"/>
        <item h="1" sd="0" x="228"/>
        <item h="1" sd="0" x="229"/>
        <item h="1" sd="0" x="230"/>
        <item h="1" sd="0" x="231"/>
        <item h="1" sd="0" x="232"/>
        <item h="1" sd="0" x="233"/>
        <item h="1" sd="0" x="234"/>
        <item h="1" sd="0" x="235"/>
        <item h="1" sd="0" x="236"/>
        <item h="1" sd="0" x="237"/>
        <item h="1" sd="0" x="238"/>
        <item h="1" sd="0" x="239"/>
        <item h="1" sd="0" x="240"/>
        <item h="1" sd="0" x="241"/>
        <item h="1" sd="0" x="242"/>
        <item h="1" sd="0" x="243"/>
        <item h="1" sd="0" x="244"/>
        <item h="1" sd="0" x="245"/>
        <item h="1" sd="0" x="246"/>
        <item h="1" sd="0" x="247"/>
        <item h="1" sd="0" x="248"/>
        <item h="1" sd="0" x="249"/>
        <item h="1" sd="0" x="250"/>
        <item h="1" sd="0" x="251"/>
        <item h="1" sd="0" x="252"/>
        <item h="1" sd="0" x="253"/>
        <item h="1" sd="0" x="254"/>
        <item h="1" sd="0" x="255"/>
        <item h="1" sd="0" x="256"/>
        <item h="1" sd="0" x="257"/>
        <item h="1" sd="0" x="258"/>
        <item h="1" sd="0" x="259"/>
        <item h="1" sd="0" x="260"/>
        <item h="1" sd="0" x="261"/>
        <item h="1" sd="0" x="262"/>
        <item h="1" sd="0" x="263"/>
        <item h="1" sd="0" x="264"/>
        <item h="1" sd="0" x="265"/>
        <item h="1" sd="0" x="266"/>
        <item h="1" sd="0" x="267"/>
        <item h="1" sd="0" x="268"/>
        <item h="1" sd="0" x="269"/>
        <item h="1" sd="0" x="270"/>
        <item h="1" sd="0" x="271"/>
        <item h="1" sd="0" x="272"/>
        <item h="1" sd="0" x="273"/>
        <item h="1" sd="0" x="274"/>
        <item h="1" sd="0" x="275"/>
        <item h="1" sd="0" x="276"/>
        <item h="1" sd="0" x="277"/>
        <item h="1" sd="0" x="278"/>
        <item h="1" sd="0" x="279"/>
        <item h="1" sd="0" x="280"/>
        <item h="1" sd="0" x="281"/>
        <item h="1" sd="0" x="282"/>
        <item h="1" sd="0" x="283"/>
        <item h="1" sd="0" x="284"/>
        <item h="1" sd="0" x="285"/>
        <item h="1" sd="0" x="286"/>
        <item h="1" sd="0" x="287"/>
        <item h="1" sd="0" x="288"/>
        <item h="1" sd="0" x="289"/>
        <item h="1" sd="0" x="290"/>
        <item h="1" sd="0" x="291"/>
        <item h="1" sd="0" x="292"/>
        <item h="1" sd="0" x="293"/>
        <item h="1" sd="0" x="294"/>
        <item h="1" sd="0" x="295"/>
        <item h="1" sd="0" x="296"/>
        <item h="1" sd="0" x="297"/>
        <item h="1" sd="0" x="298"/>
        <item h="1" sd="0" x="299"/>
        <item h="1" sd="0" x="300"/>
        <item h="1" sd="0" x="301"/>
        <item h="1" sd="0" x="302"/>
        <item h="1" sd="0" x="303"/>
        <item h="1" sd="0" x="304"/>
        <item h="1" sd="0" x="305"/>
        <item h="1" sd="0" x="306"/>
        <item h="1" sd="0" x="307"/>
        <item h="1" sd="0" x="308"/>
        <item h="1" sd="0" x="309"/>
        <item h="1" sd="0" x="310"/>
        <item h="1" sd="0" x="311"/>
        <item h="1" sd="0" x="312"/>
        <item h="1" sd="0" x="313"/>
        <item h="1" sd="0" x="314"/>
        <item h="1" sd="0" x="315"/>
        <item h="1" sd="0" x="316"/>
        <item h="1" sd="0" x="317"/>
        <item h="1" sd="0" x="318"/>
        <item h="1" sd="0" x="319"/>
        <item h="1" sd="0" x="320"/>
        <item h="1" sd="0" x="321"/>
        <item h="1" sd="0" x="322"/>
        <item h="1" sd="0" x="323"/>
        <item h="1" sd="0" x="324"/>
        <item h="1" sd="0" x="325"/>
        <item h="1" sd="0" x="326"/>
        <item h="1" sd="0" x="327"/>
        <item h="1" sd="0" x="328"/>
        <item h="1" sd="0" x="329"/>
        <item h="1" sd="0" x="330"/>
        <item h="1" sd="0" x="331"/>
        <item h="1" sd="0" x="332"/>
        <item h="1" sd="0" x="333"/>
        <item h="1" sd="0" x="334"/>
        <item h="1" sd="0" x="335"/>
        <item h="1" sd="0" x="336"/>
        <item h="1" sd="0" x="337"/>
        <item h="1" sd="0" x="338"/>
        <item h="1" sd="0" x="339"/>
        <item h="1" sd="0" x="340"/>
        <item h="1" sd="0" x="341"/>
        <item h="1" sd="0" x="342"/>
        <item h="1" sd="0" x="343"/>
        <item h="1" sd="0" x="344"/>
        <item h="1" sd="0" x="345"/>
        <item h="1" sd="0" x="346"/>
        <item h="1" sd="0" x="347"/>
        <item h="1" sd="0" x="348"/>
        <item h="1" sd="0" x="349"/>
        <item h="1" sd="0" x="350"/>
        <item h="1" sd="0" x="351"/>
        <item h="1" sd="0" x="352"/>
        <item h="1" sd="0" x="353"/>
        <item h="1" sd="0" x="354"/>
        <item h="1" sd="0" x="355"/>
        <item h="1" sd="0" x="356"/>
        <item h="1" sd="0" x="357"/>
        <item h="1" sd="0" x="358"/>
        <item h="1" sd="0" x="359"/>
        <item h="1" sd="0" x="360"/>
        <item h="1" sd="0" x="361"/>
        <item h="1" sd="0" x="362"/>
        <item h="1" sd="0" x="363"/>
        <item h="1" sd="0" x="364"/>
        <item h="1" sd="0" x="365"/>
        <item h="1" sd="0" x="366"/>
        <item h="1"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7">
    <i>
      <x v="1"/>
    </i>
    <i>
      <x v="2"/>
    </i>
    <i>
      <x v="3"/>
    </i>
    <i>
      <x v="4"/>
    </i>
    <i>
      <x v="5"/>
    </i>
    <i>
      <x v="6"/>
    </i>
    <i t="grand">
      <x/>
    </i>
  </rowItems>
  <colItems count="1">
    <i/>
  </colItems>
  <dataFields count="1">
    <dataField name="Sum of Sales" fld="4" baseField="0" baseItem="0"/>
  </dataFields>
  <chartFormats count="2">
    <chartFormat chart="12"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DA850F-67F2-456A-BAA3-D3A53F0ABB96}"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1" firstHeaderRow="1" firstDataRow="1" firstDataCol="1"/>
  <pivotFields count="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sortType="descending">
      <items count="8">
        <item x="2"/>
        <item x="3"/>
        <item x="6"/>
        <item x="0"/>
        <item x="1"/>
        <item x="4"/>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8">
    <i>
      <x v="4"/>
    </i>
    <i>
      <x v="3"/>
    </i>
    <i>
      <x v="5"/>
    </i>
    <i>
      <x v="1"/>
    </i>
    <i>
      <x v="2"/>
    </i>
    <i>
      <x/>
    </i>
    <i>
      <x v="6"/>
    </i>
    <i t="grand">
      <x/>
    </i>
  </rowItems>
  <colItems count="1">
    <i/>
  </colItems>
  <dataFields count="1">
    <dataField name="Sum of Profit" fld="5" baseField="3" baseItem="1"/>
  </dataFields>
  <chartFormats count="2">
    <chartFormat chart="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566E6E-85A9-40E8-BFE4-A3865B77CDC5}"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8">
        <item x="2"/>
        <item x="3"/>
        <item x="6"/>
        <item x="0"/>
        <item x="1"/>
        <item x="4"/>
        <item x="5"/>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8">
    <i>
      <x/>
    </i>
    <i>
      <x v="1"/>
    </i>
    <i>
      <x v="2"/>
    </i>
    <i>
      <x v="3"/>
    </i>
    <i>
      <x v="4"/>
    </i>
    <i>
      <x v="5"/>
    </i>
    <i>
      <x v="6"/>
    </i>
    <i t="grand">
      <x/>
    </i>
  </rowItems>
  <colItems count="1">
    <i/>
  </colItems>
  <dataFields count="1">
    <dataField name="Sum of Sales" fld="4" baseField="0" baseItem="0"/>
  </dataFields>
  <chartFormats count="16">
    <chartFormat chart="3"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3" count="1" selected="0">
            <x v="0"/>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 chart="6" format="12">
      <pivotArea type="data" outline="0" fieldPosition="0">
        <references count="2">
          <reference field="4294967294" count="1" selected="0">
            <x v="0"/>
          </reference>
          <reference field="3" count="1" selected="0">
            <x v="2"/>
          </reference>
        </references>
      </pivotArea>
    </chartFormat>
    <chartFormat chart="6" format="13">
      <pivotArea type="data" outline="0" fieldPosition="0">
        <references count="2">
          <reference field="4294967294" count="1" selected="0">
            <x v="0"/>
          </reference>
          <reference field="3" count="1" selected="0">
            <x v="3"/>
          </reference>
        </references>
      </pivotArea>
    </chartFormat>
    <chartFormat chart="6" format="14">
      <pivotArea type="data" outline="0" fieldPosition="0">
        <references count="2">
          <reference field="4294967294" count="1" selected="0">
            <x v="0"/>
          </reference>
          <reference field="3" count="1" selected="0">
            <x v="4"/>
          </reference>
        </references>
      </pivotArea>
    </chartFormat>
    <chartFormat chart="6" format="15">
      <pivotArea type="data" outline="0" fieldPosition="0">
        <references count="2">
          <reference field="4294967294" count="1" selected="0">
            <x v="0"/>
          </reference>
          <reference field="3" count="1" selected="0">
            <x v="5"/>
          </reference>
        </references>
      </pivotArea>
    </chartFormat>
    <chartFormat chart="6" format="16">
      <pivotArea type="data" outline="0" fieldPosition="0">
        <references count="2">
          <reference field="4294967294" count="1" selected="0">
            <x v="0"/>
          </reference>
          <reference field="3" count="1" selected="0">
            <x v="6"/>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 chart="3" format="5">
      <pivotArea type="data" outline="0" fieldPosition="0">
        <references count="2">
          <reference field="4294967294" count="1" selected="0">
            <x v="0"/>
          </reference>
          <reference field="3" count="1" selected="0">
            <x v="4"/>
          </reference>
        </references>
      </pivotArea>
    </chartFormat>
    <chartFormat chart="3" format="6">
      <pivotArea type="data" outline="0" fieldPosition="0">
        <references count="2">
          <reference field="4294967294" count="1" selected="0">
            <x v="0"/>
          </reference>
          <reference field="3" count="1" selected="0">
            <x v="5"/>
          </reference>
        </references>
      </pivotArea>
    </chartFormat>
    <chartFormat chart="3" format="7">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89D428E-A38A-41A1-8CD0-AA1D92760A56}" sourceName="city">
  <pivotTables>
    <pivotTable tabId="2" name="PivotTable1"/>
  </pivotTables>
  <data>
    <tabular pivotCacheId="892673511">
      <items count="5">
        <i x="4" s="1"/>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FEB2D2A-6090-46F0-9113-9140DDF6B44A}" sourceName="Product">
  <pivotTables>
    <pivotTable tabId="5" name="PivotTable4"/>
  </pivotTables>
  <data>
    <tabular pivotCacheId="892673511">
      <items count="7">
        <i x="2" s="1"/>
        <i x="3" s="1"/>
        <i x="6" s="1"/>
        <i x="0" s="1"/>
        <i x="1"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F70A377-6885-482C-BB1B-3CA2C3010945}" cache="Slicer_city" caption="City" rowHeight="234950"/>
  <slicer name="Product" xr10:uid="{E6CCB2FB-A07B-4559-B2A4-E1A937010AF6}"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355E8-6BB7-400E-85E6-5FC3F5CC9B28}">
  <dimension ref="A3:B9"/>
  <sheetViews>
    <sheetView workbookViewId="0">
      <selection activeCell="O11" sqref="O11"/>
    </sheetView>
  </sheetViews>
  <sheetFormatPr defaultRowHeight="14.4" x14ac:dyDescent="0.3"/>
  <cols>
    <col min="1" max="1" width="12.5546875" bestFit="1" customWidth="1"/>
    <col min="2" max="2" width="12.109375" bestFit="1" customWidth="1"/>
  </cols>
  <sheetData>
    <row r="3" spans="1:2" x14ac:dyDescent="0.3">
      <c r="A3" s="2" t="s">
        <v>18</v>
      </c>
      <c r="B3" t="s">
        <v>20</v>
      </c>
    </row>
    <row r="4" spans="1:2" x14ac:dyDescent="0.3">
      <c r="A4" s="3" t="s">
        <v>15</v>
      </c>
      <c r="B4" s="5">
        <v>37990</v>
      </c>
    </row>
    <row r="5" spans="1:2" x14ac:dyDescent="0.3">
      <c r="A5" s="3" t="s">
        <v>8</v>
      </c>
      <c r="B5" s="5">
        <v>31665</v>
      </c>
    </row>
    <row r="6" spans="1:2" x14ac:dyDescent="0.3">
      <c r="A6" s="3" t="s">
        <v>10</v>
      </c>
      <c r="B6" s="5">
        <v>8360</v>
      </c>
    </row>
    <row r="7" spans="1:2" x14ac:dyDescent="0.3">
      <c r="A7" s="3" t="s">
        <v>6</v>
      </c>
      <c r="B7" s="5">
        <v>25138</v>
      </c>
    </row>
    <row r="8" spans="1:2" x14ac:dyDescent="0.3">
      <c r="A8" s="3" t="s">
        <v>13</v>
      </c>
      <c r="B8" s="5">
        <v>19107</v>
      </c>
    </row>
    <row r="9" spans="1:2" x14ac:dyDescent="0.3">
      <c r="A9" s="3" t="s">
        <v>19</v>
      </c>
      <c r="B9" s="5">
        <v>122260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64961-2121-4E65-AAD0-6E1488F01595}">
  <dimension ref="A1"/>
  <sheetViews>
    <sheetView topLeftCell="B1" zoomScale="84" workbookViewId="0">
      <selection activeCell="W33" sqref="W33"/>
    </sheetView>
  </sheetViews>
  <sheetFormatPr defaultRowHeight="14.4" x14ac:dyDescent="0.3"/>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4B00F-71ED-4D68-8E1B-63DBE01AD707}">
  <dimension ref="A3:B10"/>
  <sheetViews>
    <sheetView workbookViewId="0">
      <selection activeCell="B8" sqref="B8"/>
    </sheetView>
  </sheetViews>
  <sheetFormatPr defaultRowHeight="14.4" x14ac:dyDescent="0.3"/>
  <cols>
    <col min="1" max="1" width="12.5546875" bestFit="1" customWidth="1"/>
    <col min="2" max="2" width="11.6640625" bestFit="1" customWidth="1"/>
  </cols>
  <sheetData>
    <row r="3" spans="1:2" x14ac:dyDescent="0.3">
      <c r="A3" s="2" t="s">
        <v>18</v>
      </c>
      <c r="B3" t="s">
        <v>27</v>
      </c>
    </row>
    <row r="4" spans="1:2" x14ac:dyDescent="0.3">
      <c r="A4" s="3" t="s">
        <v>25</v>
      </c>
      <c r="B4" s="5">
        <v>209000</v>
      </c>
    </row>
    <row r="5" spans="1:2" x14ac:dyDescent="0.3">
      <c r="A5" s="3" t="s">
        <v>22</v>
      </c>
      <c r="B5" s="5">
        <v>164480</v>
      </c>
    </row>
    <row r="6" spans="1:2" x14ac:dyDescent="0.3">
      <c r="A6" s="3" t="s">
        <v>24</v>
      </c>
      <c r="B6" s="5">
        <v>274528</v>
      </c>
    </row>
    <row r="7" spans="1:2" x14ac:dyDescent="0.3">
      <c r="A7" s="3" t="s">
        <v>26</v>
      </c>
      <c r="B7" s="5">
        <v>125137</v>
      </c>
    </row>
    <row r="8" spans="1:2" x14ac:dyDescent="0.3">
      <c r="A8" s="3" t="s">
        <v>21</v>
      </c>
      <c r="B8" s="5">
        <v>158520</v>
      </c>
    </row>
    <row r="9" spans="1:2" x14ac:dyDescent="0.3">
      <c r="A9" s="3" t="s">
        <v>23</v>
      </c>
      <c r="B9" s="5">
        <v>126090</v>
      </c>
    </row>
    <row r="10" spans="1:2" x14ac:dyDescent="0.3">
      <c r="A10" s="3" t="s">
        <v>19</v>
      </c>
      <c r="B10" s="5">
        <v>1057755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B7A4D-4F38-4C9A-9F08-7AD1E6D39462}">
  <dimension ref="A3:B11"/>
  <sheetViews>
    <sheetView workbookViewId="0">
      <selection activeCell="O15" sqref="O15"/>
    </sheetView>
  </sheetViews>
  <sheetFormatPr defaultRowHeight="14.4" x14ac:dyDescent="0.3"/>
  <cols>
    <col min="1" max="1" width="12.5546875" bestFit="1" customWidth="1"/>
    <col min="2" max="2" width="12.109375" bestFit="1" customWidth="1"/>
  </cols>
  <sheetData>
    <row r="3" spans="1:2" x14ac:dyDescent="0.3">
      <c r="A3" s="2" t="s">
        <v>18</v>
      </c>
      <c r="B3" t="s">
        <v>20</v>
      </c>
    </row>
    <row r="4" spans="1:2" x14ac:dyDescent="0.3">
      <c r="A4" s="3" t="s">
        <v>9</v>
      </c>
      <c r="B4" s="5">
        <v>43623</v>
      </c>
    </row>
    <row r="5" spans="1:2" x14ac:dyDescent="0.3">
      <c r="A5" s="3" t="s">
        <v>7</v>
      </c>
      <c r="B5" s="5">
        <v>42090</v>
      </c>
    </row>
    <row r="6" spans="1:2" x14ac:dyDescent="0.3">
      <c r="A6" s="3" t="s">
        <v>14</v>
      </c>
      <c r="B6" s="5">
        <v>24439</v>
      </c>
    </row>
    <row r="7" spans="1:2" x14ac:dyDescent="0.3">
      <c r="A7" s="3" t="s">
        <v>12</v>
      </c>
      <c r="B7" s="5">
        <v>4479</v>
      </c>
    </row>
    <row r="8" spans="1:2" x14ac:dyDescent="0.3">
      <c r="A8" s="3" t="s">
        <v>17</v>
      </c>
      <c r="B8" s="5">
        <v>3380</v>
      </c>
    </row>
    <row r="9" spans="1:2" x14ac:dyDescent="0.3">
      <c r="A9" s="3" t="s">
        <v>11</v>
      </c>
      <c r="B9" s="5">
        <v>2520</v>
      </c>
    </row>
    <row r="10" spans="1:2" x14ac:dyDescent="0.3">
      <c r="A10" s="3" t="s">
        <v>16</v>
      </c>
      <c r="B10" s="5">
        <v>1729</v>
      </c>
    </row>
    <row r="11" spans="1:2" x14ac:dyDescent="0.3">
      <c r="A11" s="3" t="s">
        <v>19</v>
      </c>
      <c r="B11" s="5">
        <v>122260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74765-C258-40C8-9388-68F5B38FCB1F}">
  <dimension ref="A3:B11"/>
  <sheetViews>
    <sheetView workbookViewId="0">
      <selection activeCell="N8" sqref="N8"/>
    </sheetView>
  </sheetViews>
  <sheetFormatPr defaultRowHeight="14.4" x14ac:dyDescent="0.3"/>
  <cols>
    <col min="1" max="1" width="12.5546875" bestFit="1" customWidth="1"/>
    <col min="2" max="2" width="11.6640625" bestFit="1" customWidth="1"/>
  </cols>
  <sheetData>
    <row r="3" spans="1:2" x14ac:dyDescent="0.3">
      <c r="A3" s="2" t="s">
        <v>18</v>
      </c>
      <c r="B3" t="s">
        <v>27</v>
      </c>
    </row>
    <row r="4" spans="1:2" x14ac:dyDescent="0.3">
      <c r="A4" s="3" t="s">
        <v>11</v>
      </c>
      <c r="B4" s="5">
        <v>21253</v>
      </c>
    </row>
    <row r="5" spans="1:2" x14ac:dyDescent="0.3">
      <c r="A5" s="3" t="s">
        <v>12</v>
      </c>
      <c r="B5" s="5">
        <v>34837</v>
      </c>
    </row>
    <row r="6" spans="1:2" x14ac:dyDescent="0.3">
      <c r="A6" s="3" t="s">
        <v>17</v>
      </c>
      <c r="B6" s="5">
        <v>27540</v>
      </c>
    </row>
    <row r="7" spans="1:2" x14ac:dyDescent="0.3">
      <c r="A7" s="3" t="s">
        <v>7</v>
      </c>
      <c r="B7" s="5">
        <v>452640</v>
      </c>
    </row>
    <row r="8" spans="1:2" x14ac:dyDescent="0.3">
      <c r="A8" s="3" t="s">
        <v>9</v>
      </c>
      <c r="B8" s="5">
        <v>326960</v>
      </c>
    </row>
    <row r="9" spans="1:2" x14ac:dyDescent="0.3">
      <c r="A9" s="3" t="s">
        <v>14</v>
      </c>
      <c r="B9" s="5">
        <v>187520</v>
      </c>
    </row>
    <row r="10" spans="1:2" x14ac:dyDescent="0.3">
      <c r="A10" s="3" t="s">
        <v>16</v>
      </c>
      <c r="B10" s="5">
        <v>7005</v>
      </c>
    </row>
    <row r="11" spans="1:2" x14ac:dyDescent="0.3">
      <c r="A11" s="3" t="s">
        <v>19</v>
      </c>
      <c r="B11" s="5">
        <v>1057755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62265-C125-48C0-974D-7CE6C27F6AE9}">
  <dimension ref="A1:L47"/>
  <sheetViews>
    <sheetView tabSelected="1" workbookViewId="0">
      <selection activeCell="I4" sqref="I4"/>
    </sheetView>
  </sheetViews>
  <sheetFormatPr defaultRowHeight="14.4" x14ac:dyDescent="0.3"/>
  <cols>
    <col min="2" max="2" width="10.33203125" bestFit="1" customWidth="1"/>
    <col min="3" max="3" width="9.44140625" bestFit="1" customWidth="1"/>
    <col min="4" max="4" width="10.88671875" bestFit="1" customWidth="1"/>
  </cols>
  <sheetData>
    <row r="1" spans="1:12" ht="18" x14ac:dyDescent="0.35">
      <c r="A1" s="4" t="s">
        <v>31</v>
      </c>
    </row>
    <row r="2" spans="1:12" x14ac:dyDescent="0.3">
      <c r="A2" t="s">
        <v>0</v>
      </c>
      <c r="B2" t="s">
        <v>1</v>
      </c>
      <c r="C2" t="s">
        <v>2</v>
      </c>
      <c r="D2" t="s">
        <v>3</v>
      </c>
      <c r="E2" t="s">
        <v>4</v>
      </c>
      <c r="F2" t="s">
        <v>5</v>
      </c>
      <c r="G2" t="s">
        <v>32</v>
      </c>
    </row>
    <row r="3" spans="1:12" x14ac:dyDescent="0.3">
      <c r="A3">
        <v>1</v>
      </c>
      <c r="B3" s="1">
        <v>46025</v>
      </c>
      <c r="C3" t="s">
        <v>6</v>
      </c>
      <c r="D3" t="s">
        <v>7</v>
      </c>
      <c r="E3">
        <v>55000</v>
      </c>
      <c r="F3">
        <v>6000</v>
      </c>
      <c r="G3">
        <v>5</v>
      </c>
    </row>
    <row r="4" spans="1:12" x14ac:dyDescent="0.3">
      <c r="A4">
        <v>2</v>
      </c>
      <c r="B4" s="1">
        <v>46027</v>
      </c>
      <c r="C4" t="s">
        <v>8</v>
      </c>
      <c r="D4" t="s">
        <v>9</v>
      </c>
      <c r="E4">
        <v>45000</v>
      </c>
      <c r="F4">
        <v>8000</v>
      </c>
      <c r="G4">
        <v>7</v>
      </c>
    </row>
    <row r="5" spans="1:12" x14ac:dyDescent="0.3">
      <c r="A5">
        <v>3</v>
      </c>
      <c r="B5" s="1">
        <v>46029</v>
      </c>
      <c r="C5" t="s">
        <v>10</v>
      </c>
      <c r="D5" t="s">
        <v>11</v>
      </c>
      <c r="E5">
        <v>3000</v>
      </c>
      <c r="F5">
        <v>500</v>
      </c>
      <c r="G5">
        <v>3</v>
      </c>
    </row>
    <row r="6" spans="1:12" x14ac:dyDescent="0.3">
      <c r="A6">
        <v>4</v>
      </c>
      <c r="B6" s="1">
        <v>46032</v>
      </c>
      <c r="C6" t="s">
        <v>6</v>
      </c>
      <c r="D6" t="s">
        <v>12</v>
      </c>
      <c r="E6">
        <v>6000</v>
      </c>
      <c r="F6">
        <v>709</v>
      </c>
      <c r="G6">
        <v>6</v>
      </c>
      <c r="J6" t="s">
        <v>28</v>
      </c>
      <c r="L6">
        <f>SUM(E3:E47)</f>
        <v>1057755</v>
      </c>
    </row>
    <row r="7" spans="1:12" x14ac:dyDescent="0.3">
      <c r="A7">
        <v>5</v>
      </c>
      <c r="B7" s="1">
        <v>46034</v>
      </c>
      <c r="C7" t="s">
        <v>13</v>
      </c>
      <c r="D7" t="s">
        <v>14</v>
      </c>
      <c r="E7">
        <v>8000</v>
      </c>
      <c r="F7">
        <v>6500</v>
      </c>
      <c r="G7">
        <v>2</v>
      </c>
    </row>
    <row r="8" spans="1:12" x14ac:dyDescent="0.3">
      <c r="A8">
        <v>6</v>
      </c>
      <c r="B8" s="1">
        <v>46037</v>
      </c>
      <c r="C8" t="s">
        <v>15</v>
      </c>
      <c r="D8" t="s">
        <v>7</v>
      </c>
      <c r="E8">
        <v>56000</v>
      </c>
      <c r="F8">
        <v>6700</v>
      </c>
      <c r="G8">
        <v>7</v>
      </c>
      <c r="J8" t="s">
        <v>29</v>
      </c>
      <c r="L8">
        <f>SUM(F3:F47)</f>
        <v>122260</v>
      </c>
    </row>
    <row r="9" spans="1:12" x14ac:dyDescent="0.3">
      <c r="A9">
        <v>7</v>
      </c>
      <c r="B9" s="1">
        <v>46040</v>
      </c>
      <c r="C9" t="s">
        <v>10</v>
      </c>
      <c r="D9" t="s">
        <v>16</v>
      </c>
      <c r="E9">
        <v>2000</v>
      </c>
      <c r="F9">
        <v>250</v>
      </c>
      <c r="G9">
        <v>8</v>
      </c>
    </row>
    <row r="10" spans="1:12" x14ac:dyDescent="0.3">
      <c r="A10">
        <v>8</v>
      </c>
      <c r="B10" s="1">
        <v>46042</v>
      </c>
      <c r="C10" t="s">
        <v>8</v>
      </c>
      <c r="D10" t="s">
        <v>14</v>
      </c>
      <c r="E10">
        <v>34000</v>
      </c>
      <c r="F10">
        <v>5599</v>
      </c>
      <c r="G10">
        <v>4</v>
      </c>
      <c r="J10" t="s">
        <v>30</v>
      </c>
      <c r="L10">
        <f>SUM(G3:G47)</f>
        <v>270</v>
      </c>
    </row>
    <row r="11" spans="1:12" x14ac:dyDescent="0.3">
      <c r="A11">
        <v>9</v>
      </c>
      <c r="B11" s="1">
        <v>46055</v>
      </c>
      <c r="C11" t="s">
        <v>6</v>
      </c>
      <c r="D11" t="s">
        <v>12</v>
      </c>
      <c r="E11">
        <v>4000</v>
      </c>
      <c r="F11">
        <v>890</v>
      </c>
      <c r="G11">
        <v>7</v>
      </c>
    </row>
    <row r="12" spans="1:12" x14ac:dyDescent="0.3">
      <c r="A12">
        <v>10</v>
      </c>
      <c r="B12" s="1">
        <v>46057</v>
      </c>
      <c r="C12" t="s">
        <v>13</v>
      </c>
      <c r="D12" t="s">
        <v>11</v>
      </c>
      <c r="E12">
        <v>4590</v>
      </c>
      <c r="F12">
        <v>390</v>
      </c>
      <c r="G12">
        <v>6</v>
      </c>
    </row>
    <row r="13" spans="1:12" x14ac:dyDescent="0.3">
      <c r="A13">
        <v>11</v>
      </c>
      <c r="B13" s="1">
        <v>46059</v>
      </c>
      <c r="C13" t="s">
        <v>15</v>
      </c>
      <c r="D13" t="s">
        <v>7</v>
      </c>
      <c r="E13">
        <v>56700</v>
      </c>
      <c r="F13">
        <v>8000</v>
      </c>
      <c r="G13">
        <v>3</v>
      </c>
    </row>
    <row r="14" spans="1:12" x14ac:dyDescent="0.3">
      <c r="A14">
        <v>12</v>
      </c>
      <c r="B14" s="1">
        <v>46066</v>
      </c>
      <c r="C14" t="s">
        <v>6</v>
      </c>
      <c r="D14" t="s">
        <v>14</v>
      </c>
      <c r="E14">
        <v>37000</v>
      </c>
      <c r="F14">
        <v>6000</v>
      </c>
      <c r="G14">
        <v>6</v>
      </c>
    </row>
    <row r="15" spans="1:12" x14ac:dyDescent="0.3">
      <c r="A15">
        <v>13</v>
      </c>
      <c r="B15" s="1">
        <v>46068</v>
      </c>
      <c r="C15" t="s">
        <v>10</v>
      </c>
      <c r="D15" t="s">
        <v>16</v>
      </c>
      <c r="E15">
        <v>390</v>
      </c>
      <c r="F15">
        <v>160</v>
      </c>
      <c r="G15">
        <v>7</v>
      </c>
    </row>
    <row r="16" spans="1:12" x14ac:dyDescent="0.3">
      <c r="A16">
        <v>14</v>
      </c>
      <c r="B16" s="1">
        <v>46075</v>
      </c>
      <c r="C16" t="s">
        <v>15</v>
      </c>
      <c r="D16" t="s">
        <v>9</v>
      </c>
      <c r="E16">
        <v>54900</v>
      </c>
      <c r="F16">
        <v>3490</v>
      </c>
      <c r="G16">
        <v>8</v>
      </c>
    </row>
    <row r="17" spans="1:7" x14ac:dyDescent="0.3">
      <c r="A17">
        <v>15</v>
      </c>
      <c r="B17" s="1">
        <v>46081</v>
      </c>
      <c r="C17" t="s">
        <v>8</v>
      </c>
      <c r="D17" t="s">
        <v>12</v>
      </c>
      <c r="E17">
        <v>6900</v>
      </c>
      <c r="F17">
        <v>590</v>
      </c>
      <c r="G17">
        <v>5</v>
      </c>
    </row>
    <row r="18" spans="1:7" x14ac:dyDescent="0.3">
      <c r="A18">
        <v>16</v>
      </c>
      <c r="B18" s="1">
        <v>46082</v>
      </c>
      <c r="C18" t="s">
        <v>6</v>
      </c>
      <c r="D18" t="s">
        <v>17</v>
      </c>
      <c r="E18">
        <v>4500</v>
      </c>
      <c r="F18">
        <v>380</v>
      </c>
      <c r="G18">
        <v>9</v>
      </c>
    </row>
    <row r="19" spans="1:7" x14ac:dyDescent="0.3">
      <c r="A19">
        <v>17</v>
      </c>
      <c r="B19" s="1">
        <v>46085</v>
      </c>
      <c r="C19" t="s">
        <v>13</v>
      </c>
      <c r="D19" t="s">
        <v>7</v>
      </c>
      <c r="E19">
        <v>65050</v>
      </c>
      <c r="F19">
        <v>3000</v>
      </c>
      <c r="G19">
        <v>4</v>
      </c>
    </row>
    <row r="20" spans="1:7" x14ac:dyDescent="0.3">
      <c r="A20">
        <v>18</v>
      </c>
      <c r="B20" s="1">
        <v>46090</v>
      </c>
      <c r="C20" t="s">
        <v>13</v>
      </c>
      <c r="D20" t="s">
        <v>11</v>
      </c>
      <c r="E20">
        <v>5443</v>
      </c>
      <c r="F20">
        <v>347</v>
      </c>
      <c r="G20">
        <v>7</v>
      </c>
    </row>
    <row r="21" spans="1:7" x14ac:dyDescent="0.3">
      <c r="A21">
        <v>19</v>
      </c>
      <c r="B21" s="1">
        <v>46093</v>
      </c>
      <c r="C21" t="s">
        <v>6</v>
      </c>
      <c r="D21" t="s">
        <v>14</v>
      </c>
      <c r="E21">
        <v>78900</v>
      </c>
      <c r="F21">
        <v>4500</v>
      </c>
      <c r="G21">
        <v>9</v>
      </c>
    </row>
    <row r="22" spans="1:7" x14ac:dyDescent="0.3">
      <c r="A22">
        <v>20</v>
      </c>
      <c r="B22" s="1">
        <v>46098</v>
      </c>
      <c r="C22" t="s">
        <v>15</v>
      </c>
      <c r="D22" t="s">
        <v>12</v>
      </c>
      <c r="E22">
        <v>5430</v>
      </c>
      <c r="F22">
        <v>690</v>
      </c>
      <c r="G22">
        <v>6</v>
      </c>
    </row>
    <row r="23" spans="1:7" x14ac:dyDescent="0.3">
      <c r="A23">
        <v>21</v>
      </c>
      <c r="B23" s="1">
        <v>46101</v>
      </c>
      <c r="C23" t="s">
        <v>8</v>
      </c>
      <c r="D23" t="s">
        <v>9</v>
      </c>
      <c r="E23">
        <v>67500</v>
      </c>
      <c r="F23">
        <v>5430</v>
      </c>
      <c r="G23">
        <v>5</v>
      </c>
    </row>
    <row r="24" spans="1:7" x14ac:dyDescent="0.3">
      <c r="A24">
        <v>22</v>
      </c>
      <c r="B24" s="1">
        <v>46106</v>
      </c>
      <c r="C24" t="s">
        <v>13</v>
      </c>
      <c r="D24" t="s">
        <v>16</v>
      </c>
      <c r="E24">
        <v>955</v>
      </c>
      <c r="F24">
        <v>500</v>
      </c>
      <c r="G24">
        <v>7</v>
      </c>
    </row>
    <row r="25" spans="1:7" x14ac:dyDescent="0.3">
      <c r="A25">
        <v>23</v>
      </c>
      <c r="B25" s="1">
        <v>46111</v>
      </c>
      <c r="C25" t="s">
        <v>6</v>
      </c>
      <c r="D25" t="s">
        <v>7</v>
      </c>
      <c r="E25">
        <v>46750</v>
      </c>
      <c r="F25">
        <v>5000</v>
      </c>
      <c r="G25">
        <v>5</v>
      </c>
    </row>
    <row r="26" spans="1:7" x14ac:dyDescent="0.3">
      <c r="A26">
        <v>24</v>
      </c>
      <c r="B26" s="1">
        <v>46115</v>
      </c>
      <c r="C26" t="s">
        <v>15</v>
      </c>
      <c r="D26" t="s">
        <v>9</v>
      </c>
      <c r="E26">
        <v>35780</v>
      </c>
      <c r="F26">
        <v>9000</v>
      </c>
      <c r="G26">
        <v>8</v>
      </c>
    </row>
    <row r="27" spans="1:7" x14ac:dyDescent="0.3">
      <c r="A27">
        <v>25</v>
      </c>
      <c r="B27" s="1">
        <v>46118</v>
      </c>
      <c r="C27" t="s">
        <v>10</v>
      </c>
      <c r="D27" t="s">
        <v>7</v>
      </c>
      <c r="E27">
        <v>65990</v>
      </c>
      <c r="F27">
        <v>6000</v>
      </c>
      <c r="G27">
        <v>5</v>
      </c>
    </row>
    <row r="28" spans="1:7" x14ac:dyDescent="0.3">
      <c r="A28">
        <v>26</v>
      </c>
      <c r="B28" s="1">
        <v>46122</v>
      </c>
      <c r="C28" t="s">
        <v>13</v>
      </c>
      <c r="D28" t="s">
        <v>12</v>
      </c>
      <c r="E28">
        <v>5007</v>
      </c>
      <c r="F28">
        <v>700</v>
      </c>
      <c r="G28">
        <v>9</v>
      </c>
    </row>
    <row r="29" spans="1:7" x14ac:dyDescent="0.3">
      <c r="A29">
        <v>27</v>
      </c>
      <c r="B29" s="1">
        <v>46126</v>
      </c>
      <c r="C29" t="s">
        <v>6</v>
      </c>
      <c r="D29" t="s">
        <v>16</v>
      </c>
      <c r="E29">
        <v>2890</v>
      </c>
      <c r="F29">
        <v>679</v>
      </c>
      <c r="G29">
        <v>3</v>
      </c>
    </row>
    <row r="30" spans="1:7" x14ac:dyDescent="0.3">
      <c r="A30">
        <v>28</v>
      </c>
      <c r="B30" s="1">
        <v>46130</v>
      </c>
      <c r="C30" t="s">
        <v>13</v>
      </c>
      <c r="D30" t="s">
        <v>11</v>
      </c>
      <c r="E30">
        <v>5670</v>
      </c>
      <c r="F30">
        <v>670</v>
      </c>
      <c r="G30">
        <v>7</v>
      </c>
    </row>
    <row r="31" spans="1:7" x14ac:dyDescent="0.3">
      <c r="A31">
        <v>29</v>
      </c>
      <c r="B31" s="1">
        <v>46138</v>
      </c>
      <c r="C31" t="s">
        <v>10</v>
      </c>
      <c r="D31" t="s">
        <v>14</v>
      </c>
      <c r="E31">
        <v>9800</v>
      </c>
      <c r="F31">
        <v>450</v>
      </c>
      <c r="G31">
        <v>5</v>
      </c>
    </row>
    <row r="32" spans="1:7" x14ac:dyDescent="0.3">
      <c r="A32">
        <v>30</v>
      </c>
      <c r="B32" s="1">
        <v>46144</v>
      </c>
      <c r="C32" t="s">
        <v>15</v>
      </c>
      <c r="D32" t="s">
        <v>9</v>
      </c>
      <c r="E32">
        <v>25900</v>
      </c>
      <c r="F32">
        <v>6670</v>
      </c>
      <c r="G32">
        <v>3</v>
      </c>
    </row>
    <row r="33" spans="1:7" x14ac:dyDescent="0.3">
      <c r="A33">
        <v>31</v>
      </c>
      <c r="B33" s="1">
        <v>46147</v>
      </c>
      <c r="C33" t="s">
        <v>8</v>
      </c>
      <c r="D33" t="s">
        <v>9</v>
      </c>
      <c r="E33">
        <v>31890</v>
      </c>
      <c r="F33">
        <v>6533</v>
      </c>
      <c r="G33">
        <v>9</v>
      </c>
    </row>
    <row r="34" spans="1:7" x14ac:dyDescent="0.3">
      <c r="A34">
        <v>32</v>
      </c>
      <c r="B34" s="1">
        <v>46150</v>
      </c>
      <c r="C34" t="s">
        <v>15</v>
      </c>
      <c r="D34" t="s">
        <v>16</v>
      </c>
      <c r="E34">
        <v>320</v>
      </c>
      <c r="F34">
        <v>50</v>
      </c>
      <c r="G34">
        <v>5</v>
      </c>
    </row>
    <row r="35" spans="1:7" x14ac:dyDescent="0.3">
      <c r="A35">
        <v>33</v>
      </c>
      <c r="B35" s="1">
        <v>46151</v>
      </c>
      <c r="C35" t="s">
        <v>6</v>
      </c>
      <c r="D35" t="s">
        <v>14</v>
      </c>
      <c r="E35">
        <v>9830</v>
      </c>
      <c r="F35">
        <v>890</v>
      </c>
      <c r="G35">
        <v>6</v>
      </c>
    </row>
    <row r="36" spans="1:7" x14ac:dyDescent="0.3">
      <c r="A36">
        <v>34</v>
      </c>
      <c r="B36" s="1">
        <v>46159</v>
      </c>
      <c r="C36" t="s">
        <v>13</v>
      </c>
      <c r="D36" t="s">
        <v>17</v>
      </c>
      <c r="E36">
        <v>11000</v>
      </c>
      <c r="F36">
        <v>800</v>
      </c>
      <c r="G36">
        <v>7</v>
      </c>
    </row>
    <row r="37" spans="1:7" x14ac:dyDescent="0.3">
      <c r="A37">
        <v>35</v>
      </c>
      <c r="B37" s="1">
        <v>46164</v>
      </c>
      <c r="C37" t="s">
        <v>8</v>
      </c>
      <c r="D37" t="s">
        <v>11</v>
      </c>
      <c r="E37">
        <v>890</v>
      </c>
      <c r="F37">
        <v>200</v>
      </c>
      <c r="G37">
        <v>5</v>
      </c>
    </row>
    <row r="38" spans="1:7" x14ac:dyDescent="0.3">
      <c r="A38">
        <v>36</v>
      </c>
      <c r="B38" s="1">
        <v>46167</v>
      </c>
      <c r="C38" t="s">
        <v>10</v>
      </c>
      <c r="D38" t="s">
        <v>17</v>
      </c>
      <c r="E38">
        <v>6790</v>
      </c>
      <c r="F38">
        <v>1000</v>
      </c>
      <c r="G38">
        <v>7</v>
      </c>
    </row>
    <row r="39" spans="1:7" x14ac:dyDescent="0.3">
      <c r="A39">
        <v>37</v>
      </c>
      <c r="B39" s="1">
        <v>46171</v>
      </c>
      <c r="C39" t="s">
        <v>8</v>
      </c>
      <c r="D39" t="s">
        <v>7</v>
      </c>
      <c r="E39">
        <v>71900</v>
      </c>
      <c r="F39">
        <v>4900</v>
      </c>
      <c r="G39">
        <v>6</v>
      </c>
    </row>
    <row r="40" spans="1:7" x14ac:dyDescent="0.3">
      <c r="A40">
        <v>38</v>
      </c>
      <c r="B40" s="1">
        <v>46180</v>
      </c>
      <c r="C40" t="s">
        <v>15</v>
      </c>
      <c r="D40" t="s">
        <v>7</v>
      </c>
      <c r="E40">
        <v>35250</v>
      </c>
      <c r="F40">
        <v>2490</v>
      </c>
      <c r="G40">
        <v>4</v>
      </c>
    </row>
    <row r="41" spans="1:7" x14ac:dyDescent="0.3">
      <c r="A41">
        <v>39</v>
      </c>
      <c r="B41" s="1">
        <v>46184</v>
      </c>
      <c r="C41" t="s">
        <v>13</v>
      </c>
      <c r="D41" t="s">
        <v>9</v>
      </c>
      <c r="E41">
        <v>65990</v>
      </c>
      <c r="F41">
        <v>4500</v>
      </c>
      <c r="G41">
        <v>6</v>
      </c>
    </row>
    <row r="42" spans="1:7" x14ac:dyDescent="0.3">
      <c r="A42">
        <v>40</v>
      </c>
      <c r="B42" s="1">
        <v>46186</v>
      </c>
      <c r="C42" t="s">
        <v>6</v>
      </c>
      <c r="D42" t="s">
        <v>16</v>
      </c>
      <c r="E42">
        <v>450</v>
      </c>
      <c r="F42">
        <v>90</v>
      </c>
      <c r="G42">
        <v>8</v>
      </c>
    </row>
    <row r="43" spans="1:7" x14ac:dyDescent="0.3">
      <c r="A43">
        <v>41</v>
      </c>
      <c r="B43" s="1">
        <v>46192</v>
      </c>
      <c r="C43" t="s">
        <v>8</v>
      </c>
      <c r="D43" t="s">
        <v>11</v>
      </c>
      <c r="E43">
        <v>765</v>
      </c>
      <c r="F43">
        <v>157</v>
      </c>
      <c r="G43">
        <v>6</v>
      </c>
    </row>
    <row r="44" spans="1:7" x14ac:dyDescent="0.3">
      <c r="A44">
        <v>42</v>
      </c>
      <c r="B44" s="1">
        <v>46194</v>
      </c>
      <c r="C44" t="s">
        <v>8</v>
      </c>
      <c r="D44" t="s">
        <v>11</v>
      </c>
      <c r="E44">
        <v>895</v>
      </c>
      <c r="F44">
        <v>256</v>
      </c>
      <c r="G44">
        <v>7</v>
      </c>
    </row>
    <row r="45" spans="1:7" x14ac:dyDescent="0.3">
      <c r="A45">
        <v>43</v>
      </c>
      <c r="B45" s="1">
        <v>46196</v>
      </c>
      <c r="C45" t="s">
        <v>15</v>
      </c>
      <c r="D45" t="s">
        <v>12</v>
      </c>
      <c r="E45">
        <v>7500</v>
      </c>
      <c r="F45">
        <v>900</v>
      </c>
      <c r="G45">
        <v>5</v>
      </c>
    </row>
    <row r="46" spans="1:7" x14ac:dyDescent="0.3">
      <c r="A46">
        <v>44</v>
      </c>
      <c r="B46" s="1">
        <v>46200</v>
      </c>
      <c r="C46" t="s">
        <v>13</v>
      </c>
      <c r="D46" t="s">
        <v>14</v>
      </c>
      <c r="E46">
        <v>9990</v>
      </c>
      <c r="F46">
        <v>500</v>
      </c>
      <c r="G46">
        <v>9</v>
      </c>
    </row>
    <row r="47" spans="1:7" x14ac:dyDescent="0.3">
      <c r="A47">
        <v>45</v>
      </c>
      <c r="B47" s="1">
        <v>46203</v>
      </c>
      <c r="C47" t="s">
        <v>13</v>
      </c>
      <c r="D47" t="s">
        <v>17</v>
      </c>
      <c r="E47">
        <v>5250</v>
      </c>
      <c r="F47">
        <v>1200</v>
      </c>
      <c r="G47">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Sheet6</vt:lpstr>
      <vt:lpstr>Sheet3</vt:lpstr>
      <vt:lpstr>Sheet4</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Aneesha Rana</dc:creator>
  <cp:lastModifiedBy>Aneesha Rana</cp:lastModifiedBy>
  <dcterms:created xsi:type="dcterms:W3CDTF">2026-05-29T14:07:37Z</dcterms:created>
  <dcterms:modified xsi:type="dcterms:W3CDTF">2026-05-30T05:00:23Z</dcterms:modified>
</cp:coreProperties>
</file>